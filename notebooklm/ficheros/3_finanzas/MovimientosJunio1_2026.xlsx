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necuador-my.sharepoint.com/personal/carlos_iniguez_epn_edu_ec/Documents/TODO/Presentacion NLM/Material Taller/02_FinanzasPersonales/"/>
    </mc:Choice>
  </mc:AlternateContent>
  <xr:revisionPtr revIDLastSave="34" documentId="13_ncr:9_{B855CC4C-2061-404F-ABFD-CB58F63DEB21}" xr6:coauthVersionLast="47" xr6:coauthVersionMax="47" xr10:uidLastSave="{188E7EB6-738F-B446-9C1E-95CB0B7448F6}"/>
  <bookViews>
    <workbookView xWindow="-36860" yWindow="-3100" windowWidth="36860" windowHeight="21100" xr2:uid="{92CC531C-226A-774C-82F1-4D85F1F9A212}"/>
  </bookViews>
  <sheets>
    <sheet name="MovimientosJunio1_2026" sheetId="1" r:id="rId1"/>
    <sheet name="Hoja1" sheetId="2" r:id="rId2"/>
  </sheets>
  <definedNames>
    <definedName name="_xlnm._FilterDatabase" localSheetId="0" hidden="1">MovimientosJunio1_2026!$A$1:$M$159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</calcChain>
</file>

<file path=xl/sharedStrings.xml><?xml version="1.0" encoding="utf-8"?>
<sst xmlns="http://schemas.openxmlformats.org/spreadsheetml/2006/main" count="878" uniqueCount="187">
  <si>
    <t>id</t>
  </si>
  <si>
    <t>descripcion</t>
  </si>
  <si>
    <t>valor</t>
  </si>
  <si>
    <t>fecha</t>
  </si>
  <si>
    <t>YY</t>
  </si>
  <si>
    <t>MM</t>
  </si>
  <si>
    <t>DD</t>
  </si>
  <si>
    <t>nombre</t>
  </si>
  <si>
    <t>ABUELO PICH.</t>
  </si>
  <si>
    <t>PRESTAMOS</t>
  </si>
  <si>
    <t>Gestiones bancarias</t>
  </si>
  <si>
    <t>GASTO</t>
  </si>
  <si>
    <t>Ajuste de saldo en cuenta</t>
  </si>
  <si>
    <t>AJUSTE DE CUENTA</t>
  </si>
  <si>
    <t>Factura Ramiro</t>
  </si>
  <si>
    <t>CONTABILIDADES</t>
  </si>
  <si>
    <t xml:space="preserve">Factura Jorge </t>
  </si>
  <si>
    <t>Pago gastos tarjeta. Falta valor pasajes luis 779.82</t>
  </si>
  <si>
    <t>TRASNF. CUENTAS</t>
  </si>
  <si>
    <t>TRANSFERENCIA_ENTRE_CUENTAS</t>
  </si>
  <si>
    <t>comprobante 04</t>
  </si>
  <si>
    <t>Comprobante 05</t>
  </si>
  <si>
    <t>Comprobante 06</t>
  </si>
  <si>
    <t>Arriendo Cotocollao</t>
  </si>
  <si>
    <t>OTROS</t>
  </si>
  <si>
    <t>Ingresos</t>
  </si>
  <si>
    <t>INGRESO</t>
  </si>
  <si>
    <t>Comprobante 09</t>
  </si>
  <si>
    <t>Comprobante 10</t>
  </si>
  <si>
    <t>Comprobante 11</t>
  </si>
  <si>
    <t>Comprobante 12</t>
  </si>
  <si>
    <t>Comprobante 13</t>
  </si>
  <si>
    <t>01_EMPLEADAS</t>
  </si>
  <si>
    <t>03 ENPLEADAS</t>
  </si>
  <si>
    <t xml:space="preserve">04 medicamentos Ramiro </t>
  </si>
  <si>
    <t>AUTO</t>
  </si>
  <si>
    <t>Transporte</t>
  </si>
  <si>
    <t>06 comprobante, Empleadas</t>
  </si>
  <si>
    <t>07 comprobante Medicamentos Ramiro</t>
  </si>
  <si>
    <t>PRE01_Compra Departamento Niki</t>
  </si>
  <si>
    <t>REGALOS</t>
  </si>
  <si>
    <t>Extras</t>
  </si>
  <si>
    <t>PRE01_pago departamento Niki, faltan 800</t>
  </si>
  <si>
    <t>PRE01_pago departamento Niki, los 800 que faltaban</t>
  </si>
  <si>
    <t>Pago de Titanium para completar Julio</t>
  </si>
  <si>
    <t>Comprobante 1 empleadas</t>
  </si>
  <si>
    <t>EMPLEADAS</t>
  </si>
  <si>
    <t>Abuelo</t>
  </si>
  <si>
    <t>Comprobante 02</t>
  </si>
  <si>
    <t>Comprobante 03</t>
  </si>
  <si>
    <t>Comprobante 04</t>
  </si>
  <si>
    <t>MEDICAMENTOS</t>
  </si>
  <si>
    <t>Arriendo cotocollao</t>
  </si>
  <si>
    <t>ARRIENDO COTOCOLLAO</t>
  </si>
  <si>
    <t>Comprobante 6</t>
  </si>
  <si>
    <t>Comprobante 07</t>
  </si>
  <si>
    <t>Pago de Titanium para completar Julio (1087) - Falta pagar de 6 (comida Niki) y 319 (seguro BMI)</t>
  </si>
  <si>
    <t>Paso desde cuenta Abuelito a la cuenta Carlos (destinada para ahorro de Abuelito).</t>
  </si>
  <si>
    <t>Comprobante 08</t>
  </si>
  <si>
    <t>Comprabante 09 Empleadas</t>
  </si>
  <si>
    <t>Completado 1087 de tarjeta titanium</t>
  </si>
  <si>
    <t>Comprobante 01 - Medicamentos pagados por Patricio, solicita Fadua</t>
  </si>
  <si>
    <t>Comprobante 02 - Medicamentos pagados por Patricio, solicita Fadua</t>
  </si>
  <si>
    <t>Comprobante 03 Empleadas</t>
  </si>
  <si>
    <t>Comprobante 04 Empleadas</t>
  </si>
  <si>
    <t>Comprobante 13: Galletas vasos velorio Carla Jarrin</t>
  </si>
  <si>
    <t>FUNERAL</t>
  </si>
  <si>
    <t>Gastos funeral abuelito</t>
  </si>
  <si>
    <t>Comprobante 09. Almuerzos pago por Luis Flores</t>
  </si>
  <si>
    <t>Comprobante 08. Empleadas (Tio Jorge)</t>
  </si>
  <si>
    <t>Comprobante 12: Pliego papel blanco para pantalla infocus + cinta adhesiva</t>
  </si>
  <si>
    <t>Comprobante 11: Uso sala de velaciones GAD Puembo</t>
  </si>
  <si>
    <t>Comprobante 10 Empleadas</t>
  </si>
  <si>
    <t>06 Comprobante - LAPIDAS: Anticipo lapidas Luis Flores</t>
  </si>
  <si>
    <t>02 Comprobante, persona que se encargara de hacer la comida y servirla el dia sabado 14, por la suma de $350.00. (Luis Flores)</t>
  </si>
  <si>
    <t xml:space="preserve">04 Comrprobante - Arriendo de local, Luis Flores , en fritadas de otavalo </t>
  </si>
  <si>
    <t>06 Comprobante - LAPIDAS: Transferido a Luis Flores para completar 2200 de lapidas</t>
  </si>
  <si>
    <t>Llenado de caja</t>
  </si>
  <si>
    <t>Pago prestamos</t>
  </si>
  <si>
    <t>Pago nicole</t>
  </si>
  <si>
    <t>Alquiler Cotocollao</t>
  </si>
  <si>
    <t>De los gastos que se hicieron con De Una, por mala configuraci√É¬≥n de app. Se hace un ajuste de cuenta con lo real para igual cuentas</t>
  </si>
  <si>
    <t>Prestamo Lore</t>
  </si>
  <si>
    <t>Comprobante 01_ArriendosAli en carpeta de Abril (04)</t>
  </si>
  <si>
    <t>PR-EPN Para cancelacion de credito quirografario en EPN</t>
  </si>
  <si>
    <t>Comprobante 01_ Arriendo Ali en carpeta de Junio</t>
  </si>
  <si>
    <t>Prestamo</t>
  </si>
  <si>
    <t>Devoluci√É¬≥n (Aceite y plumas Carro)</t>
  </si>
  <si>
    <t>Devoluci√É¬≥n (prestamo)</t>
  </si>
  <si>
    <t>Prestamo para pago de Aceite Carro y Plumas</t>
  </si>
  <si>
    <t>Prestamo para compra de Almendras</t>
  </si>
  <si>
    <t>PRESTAMO</t>
  </si>
  <si>
    <t>Arriendo (cuota para cubrir lo atrasado)</t>
  </si>
  <si>
    <t>Arreglo carro guardafango</t>
  </si>
  <si>
    <t>ENTRETENIMIENTO</t>
  </si>
  <si>
    <t>Testosterona</t>
  </si>
  <si>
    <t>SALUD</t>
  </si>
  <si>
    <t>Salud</t>
  </si>
  <si>
    <t>SALUD SA</t>
  </si>
  <si>
    <t>Compra terreno suru</t>
  </si>
  <si>
    <t>SURU</t>
  </si>
  <si>
    <t>Inmuebles</t>
  </si>
  <si>
    <t>Pago 1 - Compra terreno suru (queda 6000 por pagar)</t>
  </si>
  <si>
    <t>Pago Tarjeta Curso Alaimo DPM</t>
  </si>
  <si>
    <t>Arreglo de direcci√≥n de auto- por pagar</t>
  </si>
  <si>
    <t>Llenado caja para fritadas por devolver</t>
  </si>
  <si>
    <t>RESTAURANTE</t>
  </si>
  <si>
    <t>Comida</t>
  </si>
  <si>
    <t>Compras frutas por pagar</t>
  </si>
  <si>
    <t>COMIDA HOGAR</t>
  </si>
  <si>
    <t xml:space="preserve">Pago de compra frutas </t>
  </si>
  <si>
    <t>Pago de : Llenado caja para fritadas por devolver</t>
  </si>
  <si>
    <t>Pago de: Arreglo de direcci√≥n de auto- por pagar</t>
  </si>
  <si>
    <t>Pago 2 - Compra terreno suru (faltan 5500)</t>
  </si>
  <si>
    <t>01_Pago Arriendo</t>
  </si>
  <si>
    <t>Pago de lo tomado para pagar tarjeta por pago curso DPM ALAIMO</t>
  </si>
  <si>
    <t>833.33 fue lo gastado de la cuenta Abuelito, no obstante se deopisto 847. Por tanto se devuelve el restante que es 13 con 63</t>
  </si>
  <si>
    <t>Arreglo carro y aceite- devolver a abuelo</t>
  </si>
  <si>
    <t>Aceite de carro y frenos carro (pago de prestamo</t>
  </si>
  <si>
    <t>Pago 3 - Compra terreno suru (faltan 5000)</t>
  </si>
  <si>
    <t>Presetamo para pagar SALUD SA del a√É¬±o 2025</t>
  </si>
  <si>
    <t>Pago de pr√É¬©stamo pago seguro 2025</t>
  </si>
  <si>
    <t>01_Arriendo (Pago Arriendo Cotocollao Aly)</t>
  </si>
  <si>
    <t>Pago 4 - Compra terreno suru (faltan 4000)</t>
  </si>
  <si>
    <t>Almuerzo con Lore</t>
  </si>
  <si>
    <t>Prestamo a Carlos por desfinanciamiento (no pagan los fondos de reserva)</t>
  </si>
  <si>
    <t>Pago arriendo</t>
  </si>
  <si>
    <t>Pago almuerzo Lore</t>
  </si>
  <si>
    <t>Pago prestamo desfinanciado</t>
  </si>
  <si>
    <t>arriendo febrero comprobante 01</t>
  </si>
  <si>
    <t>intereses a favor</t>
  </si>
  <si>
    <t>Comprobante_01</t>
  </si>
  <si>
    <t>Arriendo pagado por Ali</t>
  </si>
  <si>
    <t>Prestamo pago tarjeta Titanium (Cruso Alaimo)</t>
  </si>
  <si>
    <t>UNIVERSIDAD</t>
  </si>
  <si>
    <t>Personales</t>
  </si>
  <si>
    <t>comprobante_01</t>
  </si>
  <si>
    <t>Comprobante 1</t>
  </si>
  <si>
    <t>Pago I: Prestamo pago tarjeta Titanium (Cruso Alaimo)</t>
  </si>
  <si>
    <t>Transferencia de Aly</t>
  </si>
  <si>
    <t>Comprobante 01</t>
  </si>
  <si>
    <t>Pago prestamo a Esteban curso de estetica colombia</t>
  </si>
  <si>
    <t>PR-EPN Para cancelacion de credito quirografario en EPN (faltan 1097.03)</t>
  </si>
  <si>
    <t>Comrpobante01</t>
  </si>
  <si>
    <t>Comprobante01</t>
  </si>
  <si>
    <t>NO CONSIDERAR</t>
  </si>
  <si>
    <t>X</t>
  </si>
  <si>
    <t>RELACIONADOS</t>
  </si>
  <si>
    <t>Q</t>
  </si>
  <si>
    <t>A</t>
  </si>
  <si>
    <t>Falta</t>
  </si>
  <si>
    <t>Saldo Actual</t>
  </si>
  <si>
    <t>TOTAL</t>
  </si>
  <si>
    <t>Pago tarjeta titanium mes gastos. Recuperar</t>
  </si>
  <si>
    <t>Pago boletos aereos a Roberto</t>
  </si>
  <si>
    <t>Arreglo de caja de válvulas - FORD</t>
  </si>
  <si>
    <t>Arreglo caja válculass FORD</t>
  </si>
  <si>
    <t>PP09- Préstamo para Departamento de Nicole</t>
  </si>
  <si>
    <t>Guiro merenguero</t>
  </si>
  <si>
    <t>Pago de Luis Flores Guiro</t>
  </si>
  <si>
    <t>Préstamo para pago de crédito quirografario</t>
  </si>
  <si>
    <t>Devolución (compra almendras)</t>
  </si>
  <si>
    <t>Tour a Galápagos</t>
  </si>
  <si>
    <t>Transferencia desde Cooperativa para Tour Galápagos</t>
  </si>
  <si>
    <t>Pago Préstamo operaci√≥n bombom</t>
  </si>
  <si>
    <t>Préstamo a Esteban curso de est√©tica colombia</t>
  </si>
  <si>
    <t>Préstamo pintura casa</t>
  </si>
  <si>
    <t>Préstamo cirugía bonbon</t>
  </si>
  <si>
    <t>Préstamo operación Bombom parte 2</t>
  </si>
  <si>
    <t>Préstamo conida</t>
  </si>
  <si>
    <t>Préstamo para fisioterapua</t>
  </si>
  <si>
    <t>Préstamo para albanileria</t>
  </si>
  <si>
    <t xml:space="preserve">Factura tío jorge </t>
  </si>
  <si>
    <t>Pago a tío jorge. Comprobante 07</t>
  </si>
  <si>
    <t>Préstamo</t>
  </si>
  <si>
    <t>Comprobante 02. Pago a mamá. Día de trabajo de Sra negrita.</t>
  </si>
  <si>
    <t>Traspaso de cuenta Abuelito a Carlos. Último traspaso del depósito del IESS. Queda en cuenta Abuelito 1.26</t>
  </si>
  <si>
    <t>Comprobante 06 MEDICAMENTOS, pagado por Natalia</t>
  </si>
  <si>
    <t>Comprabante 07, Medicamentos, pagado por Nati</t>
  </si>
  <si>
    <t>Pago equivocado de Joselito (Parrillada día de Madre)</t>
  </si>
  <si>
    <t>01 comprobante, lápidas, Luis</t>
  </si>
  <si>
    <t>Igualación de gastos</t>
  </si>
  <si>
    <t>Exposición sapos Alejandro</t>
  </si>
  <si>
    <t>Atención traumatologica</t>
  </si>
  <si>
    <t>Coche oxígeno y cuerdas</t>
  </si>
  <si>
    <t>05 y 02 Comprobante - Transferencia a corriente para pago de recepción. Comprobante en ehatsapp, luis flores</t>
  </si>
  <si>
    <t xml:space="preserve">06 Comprobante - LAPIDAS: Luis pide transferir a Narcisa de las lápidas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</si>
</sst>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3" fontId="0" fillId="33" borderId="0" xfId="0" applyNumberFormat="1" applyFill="1"/>
    <xf numFmtId="0" fontId="0" fillId="34" borderId="10" xfId="0" applyFill="1" applyBorder="1"/>
    <xf numFmtId="0" fontId="0" fillId="34" borderId="0" xfId="0" applyFill="1"/>
    <xf numFmtId="0" fontId="18" fillId="0" borderId="0" xfId="0" applyFont="1"/>
    <xf numFmtId="0" fontId="14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DB41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0869-7BA7-6B43-B991-E73A61D1EF3C}">
  <dimension ref="A1:M158"/>
  <sheetViews>
    <sheetView tabSelected="1" zoomScale="120" zoomScaleNormal="120" workbookViewId="0">
      <selection activeCell="B156" sqref="B156"/>
    </sheetView>
  </sheetViews>
  <sheetFormatPr baseColWidth="10" defaultRowHeight="16" x14ac:dyDescent="0.2"/>
  <cols>
    <col min="2" max="2" width="41" customWidth="1"/>
    <col min="3" max="3" width="15.33203125" bestFit="1" customWidth="1"/>
    <col min="4" max="4" width="15.33203125" customWidth="1"/>
    <col min="5" max="5" width="13.33203125" customWidth="1"/>
    <col min="6" max="6" width="13.33203125" bestFit="1" customWidth="1"/>
    <col min="10" max="10" width="12.6640625" bestFit="1" customWidth="1"/>
    <col min="11" max="11" width="22.1640625" bestFit="1" customWidth="1"/>
    <col min="12" max="12" width="17.83203125" bestFit="1" customWidth="1"/>
    <col min="13" max="13" width="30" bestFit="1" customWidth="1"/>
  </cols>
  <sheetData>
    <row r="1" spans="1:13" x14ac:dyDescent="0.2">
      <c r="A1" t="s">
        <v>0</v>
      </c>
      <c r="B1" t="s">
        <v>1</v>
      </c>
      <c r="C1" t="s">
        <v>145</v>
      </c>
      <c r="D1" t="s">
        <v>147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7</v>
      </c>
      <c r="L1" t="s">
        <v>7</v>
      </c>
      <c r="M1" t="s">
        <v>7</v>
      </c>
    </row>
    <row r="2" spans="1:13" x14ac:dyDescent="0.2">
      <c r="A2">
        <v>171</v>
      </c>
      <c r="B2" t="s">
        <v>153</v>
      </c>
      <c r="C2" s="3" t="s">
        <v>146</v>
      </c>
      <c r="D2" s="4">
        <v>1</v>
      </c>
      <c r="E2">
        <v>-814.79</v>
      </c>
      <c r="F2" s="1">
        <v>45083.291354166664</v>
      </c>
      <c r="G2">
        <v>2023</v>
      </c>
      <c r="H2">
        <v>6</v>
      </c>
      <c r="I2">
        <v>6</v>
      </c>
      <c r="J2" t="s">
        <v>8</v>
      </c>
      <c r="K2" t="s">
        <v>15</v>
      </c>
      <c r="L2" t="s">
        <v>10</v>
      </c>
      <c r="M2" t="s">
        <v>11</v>
      </c>
    </row>
    <row r="3" spans="1:13" x14ac:dyDescent="0.2">
      <c r="A3">
        <v>174</v>
      </c>
      <c r="B3" t="s">
        <v>17</v>
      </c>
      <c r="C3" s="3" t="s">
        <v>146</v>
      </c>
      <c r="D3" s="4">
        <v>1</v>
      </c>
      <c r="E3">
        <v>34.97</v>
      </c>
      <c r="F3" s="1">
        <v>45083.292881944442</v>
      </c>
      <c r="G3">
        <v>2023</v>
      </c>
      <c r="H3">
        <v>6</v>
      </c>
      <c r="I3">
        <v>6</v>
      </c>
      <c r="J3" t="s">
        <v>8</v>
      </c>
      <c r="K3" t="s">
        <v>18</v>
      </c>
      <c r="L3" t="s">
        <v>10</v>
      </c>
      <c r="M3" t="s">
        <v>19</v>
      </c>
    </row>
    <row r="4" spans="1:13" x14ac:dyDescent="0.2">
      <c r="A4">
        <v>182</v>
      </c>
      <c r="B4" t="s">
        <v>154</v>
      </c>
      <c r="C4" s="3" t="s">
        <v>146</v>
      </c>
      <c r="D4" s="4">
        <v>1</v>
      </c>
      <c r="E4">
        <v>779.82</v>
      </c>
      <c r="F4" s="1">
        <v>45084.591273148151</v>
      </c>
      <c r="G4">
        <v>2023</v>
      </c>
      <c r="H4">
        <v>6</v>
      </c>
      <c r="I4">
        <v>7</v>
      </c>
      <c r="J4" t="s">
        <v>8</v>
      </c>
      <c r="K4" t="s">
        <v>18</v>
      </c>
      <c r="L4" t="s">
        <v>10</v>
      </c>
      <c r="M4" t="s">
        <v>19</v>
      </c>
    </row>
    <row r="5" spans="1:13" x14ac:dyDescent="0.2">
      <c r="A5">
        <v>407</v>
      </c>
      <c r="B5" t="s">
        <v>155</v>
      </c>
      <c r="C5" s="3" t="s">
        <v>146</v>
      </c>
      <c r="D5" s="4">
        <v>2</v>
      </c>
      <c r="E5">
        <v>-629</v>
      </c>
      <c r="F5" s="1">
        <v>45115.535416666666</v>
      </c>
      <c r="G5">
        <v>2023</v>
      </c>
      <c r="H5">
        <v>7</v>
      </c>
      <c r="I5">
        <v>8</v>
      </c>
      <c r="J5" t="s">
        <v>8</v>
      </c>
      <c r="K5" t="s">
        <v>35</v>
      </c>
      <c r="L5" t="s">
        <v>36</v>
      </c>
      <c r="M5" t="s">
        <v>11</v>
      </c>
    </row>
    <row r="6" spans="1:13" x14ac:dyDescent="0.2">
      <c r="A6">
        <v>467</v>
      </c>
      <c r="B6" t="s">
        <v>156</v>
      </c>
      <c r="C6" s="3" t="s">
        <v>146</v>
      </c>
      <c r="D6" s="4">
        <v>2</v>
      </c>
      <c r="E6">
        <v>629</v>
      </c>
      <c r="F6" s="1">
        <v>45135.894444444442</v>
      </c>
      <c r="G6">
        <v>2023</v>
      </c>
      <c r="H6">
        <v>7</v>
      </c>
      <c r="I6">
        <v>28</v>
      </c>
      <c r="J6" t="s">
        <v>8</v>
      </c>
      <c r="K6" t="s">
        <v>24</v>
      </c>
      <c r="L6" t="s">
        <v>25</v>
      </c>
      <c r="M6" t="s">
        <v>26</v>
      </c>
    </row>
    <row r="7" spans="1:13" x14ac:dyDescent="0.2">
      <c r="A7">
        <v>452</v>
      </c>
      <c r="B7" t="s">
        <v>39</v>
      </c>
      <c r="C7" s="3" t="s">
        <v>146</v>
      </c>
      <c r="D7" s="4">
        <v>3</v>
      </c>
      <c r="E7">
        <v>-2000</v>
      </c>
      <c r="F7" s="1">
        <v>45135.620833333334</v>
      </c>
      <c r="G7">
        <v>2023</v>
      </c>
      <c r="H7">
        <v>7</v>
      </c>
      <c r="I7">
        <v>28</v>
      </c>
      <c r="J7" t="s">
        <v>8</v>
      </c>
      <c r="K7" t="s">
        <v>40</v>
      </c>
      <c r="L7" t="s">
        <v>41</v>
      </c>
      <c r="M7" t="s">
        <v>11</v>
      </c>
    </row>
    <row r="8" spans="1:13" x14ac:dyDescent="0.2">
      <c r="A8">
        <v>464</v>
      </c>
      <c r="B8" t="s">
        <v>42</v>
      </c>
      <c r="C8" s="3" t="s">
        <v>146</v>
      </c>
      <c r="D8" s="4">
        <v>3</v>
      </c>
      <c r="E8">
        <v>1200</v>
      </c>
      <c r="F8" s="1">
        <v>45135.890277777777</v>
      </c>
      <c r="G8">
        <v>2023</v>
      </c>
      <c r="H8">
        <v>7</v>
      </c>
      <c r="I8">
        <v>28</v>
      </c>
      <c r="J8" t="s">
        <v>8</v>
      </c>
      <c r="K8" t="s">
        <v>18</v>
      </c>
      <c r="L8" t="s">
        <v>10</v>
      </c>
      <c r="M8" t="s">
        <v>19</v>
      </c>
    </row>
    <row r="9" spans="1:13" x14ac:dyDescent="0.2">
      <c r="A9">
        <v>475</v>
      </c>
      <c r="B9" t="s">
        <v>43</v>
      </c>
      <c r="C9" s="3" t="s">
        <v>146</v>
      </c>
      <c r="D9" s="4">
        <v>3</v>
      </c>
      <c r="E9">
        <v>800</v>
      </c>
      <c r="F9" s="1">
        <v>45138.67496527778</v>
      </c>
      <c r="G9">
        <v>2023</v>
      </c>
      <c r="H9">
        <v>7</v>
      </c>
      <c r="I9">
        <v>31</v>
      </c>
      <c r="J9" t="s">
        <v>8</v>
      </c>
      <c r="K9" t="s">
        <v>18</v>
      </c>
      <c r="L9" t="s">
        <v>10</v>
      </c>
      <c r="M9" t="s">
        <v>19</v>
      </c>
    </row>
    <row r="10" spans="1:13" x14ac:dyDescent="0.2">
      <c r="A10">
        <v>486</v>
      </c>
      <c r="B10" t="s">
        <v>44</v>
      </c>
      <c r="C10" s="3" t="s">
        <v>146</v>
      </c>
      <c r="D10" s="4">
        <v>4</v>
      </c>
      <c r="E10">
        <v>-1087</v>
      </c>
      <c r="F10" s="1">
        <v>45140.723460648151</v>
      </c>
      <c r="G10">
        <v>2023</v>
      </c>
      <c r="H10">
        <v>8</v>
      </c>
      <c r="I10">
        <v>2</v>
      </c>
      <c r="J10" t="s">
        <v>8</v>
      </c>
      <c r="K10" t="s">
        <v>18</v>
      </c>
      <c r="L10" t="s">
        <v>10</v>
      </c>
      <c r="M10" t="s">
        <v>19</v>
      </c>
    </row>
    <row r="11" spans="1:13" x14ac:dyDescent="0.2">
      <c r="A11">
        <v>564</v>
      </c>
      <c r="B11" t="s">
        <v>56</v>
      </c>
      <c r="C11" s="3" t="s">
        <v>146</v>
      </c>
      <c r="D11" s="4">
        <v>4</v>
      </c>
      <c r="E11">
        <v>847</v>
      </c>
      <c r="F11" s="1">
        <v>45152.640972222223</v>
      </c>
      <c r="G11">
        <v>2023</v>
      </c>
      <c r="H11">
        <v>8</v>
      </c>
      <c r="I11">
        <v>14</v>
      </c>
      <c r="J11" t="s">
        <v>8</v>
      </c>
      <c r="K11" t="s">
        <v>18</v>
      </c>
      <c r="L11" t="s">
        <v>10</v>
      </c>
      <c r="M11" t="s">
        <v>19</v>
      </c>
    </row>
    <row r="12" spans="1:13" x14ac:dyDescent="0.2">
      <c r="A12">
        <v>605</v>
      </c>
      <c r="B12" t="s">
        <v>60</v>
      </c>
      <c r="C12" s="3" t="s">
        <v>146</v>
      </c>
      <c r="D12" s="4">
        <v>4</v>
      </c>
      <c r="E12">
        <v>240</v>
      </c>
      <c r="F12" s="1">
        <v>45161.828726851854</v>
      </c>
      <c r="G12">
        <v>2023</v>
      </c>
      <c r="H12">
        <v>8</v>
      </c>
      <c r="I12">
        <v>23</v>
      </c>
      <c r="J12" t="s">
        <v>8</v>
      </c>
      <c r="K12" t="s">
        <v>18</v>
      </c>
      <c r="L12" t="s">
        <v>10</v>
      </c>
      <c r="M12" t="s">
        <v>19</v>
      </c>
    </row>
    <row r="13" spans="1:13" x14ac:dyDescent="0.2">
      <c r="A13">
        <v>671</v>
      </c>
      <c r="B13" t="s">
        <v>157</v>
      </c>
      <c r="C13" s="3" t="s">
        <v>146</v>
      </c>
      <c r="D13" s="4">
        <v>5</v>
      </c>
      <c r="E13">
        <v>-2000</v>
      </c>
      <c r="F13" s="1">
        <v>45175.720833333333</v>
      </c>
      <c r="G13">
        <v>2023</v>
      </c>
      <c r="H13">
        <v>9</v>
      </c>
      <c r="I13">
        <v>6</v>
      </c>
      <c r="J13" t="s">
        <v>8</v>
      </c>
      <c r="K13" t="s">
        <v>15</v>
      </c>
      <c r="L13" t="s">
        <v>10</v>
      </c>
      <c r="M13" t="s">
        <v>11</v>
      </c>
    </row>
    <row r="14" spans="1:13" x14ac:dyDescent="0.2">
      <c r="A14">
        <v>978</v>
      </c>
      <c r="B14" t="s">
        <v>79</v>
      </c>
      <c r="C14" s="3" t="s">
        <v>146</v>
      </c>
      <c r="D14" s="4">
        <v>5</v>
      </c>
      <c r="E14">
        <v>2000</v>
      </c>
      <c r="F14" s="1">
        <v>45262.7344212963</v>
      </c>
      <c r="G14">
        <v>2023</v>
      </c>
      <c r="H14">
        <v>12</v>
      </c>
      <c r="I14">
        <v>2</v>
      </c>
      <c r="J14" t="s">
        <v>8</v>
      </c>
      <c r="K14" t="s">
        <v>18</v>
      </c>
      <c r="L14" t="s">
        <v>10</v>
      </c>
      <c r="M14" t="s">
        <v>19</v>
      </c>
    </row>
    <row r="15" spans="1:13" x14ac:dyDescent="0.2">
      <c r="A15">
        <v>810</v>
      </c>
      <c r="B15" t="s">
        <v>158</v>
      </c>
      <c r="C15" s="3" t="s">
        <v>146</v>
      </c>
      <c r="D15" s="4">
        <v>6</v>
      </c>
      <c r="E15">
        <v>-39</v>
      </c>
      <c r="F15" s="1">
        <v>45218.535416666666</v>
      </c>
      <c r="G15">
        <v>2023</v>
      </c>
      <c r="H15">
        <v>10</v>
      </c>
      <c r="I15">
        <v>19</v>
      </c>
      <c r="J15" t="s">
        <v>8</v>
      </c>
      <c r="K15" t="s">
        <v>9</v>
      </c>
      <c r="L15" t="s">
        <v>10</v>
      </c>
      <c r="M15" t="s">
        <v>11</v>
      </c>
    </row>
    <row r="16" spans="1:13" x14ac:dyDescent="0.2">
      <c r="A16">
        <v>813</v>
      </c>
      <c r="B16" t="s">
        <v>159</v>
      </c>
      <c r="C16" s="3" t="s">
        <v>146</v>
      </c>
      <c r="D16" s="4">
        <v>6</v>
      </c>
      <c r="E16">
        <v>39</v>
      </c>
      <c r="F16" s="1">
        <v>45219.642256944448</v>
      </c>
      <c r="G16">
        <v>2023</v>
      </c>
      <c r="H16">
        <v>10</v>
      </c>
      <c r="I16">
        <v>20</v>
      </c>
      <c r="J16" t="s">
        <v>8</v>
      </c>
      <c r="K16" t="s">
        <v>18</v>
      </c>
      <c r="L16" t="s">
        <v>10</v>
      </c>
      <c r="M16" t="s">
        <v>19</v>
      </c>
    </row>
    <row r="17" spans="1:13" x14ac:dyDescent="0.2">
      <c r="A17">
        <v>1203</v>
      </c>
      <c r="B17" t="s">
        <v>160</v>
      </c>
      <c r="C17" s="3" t="s">
        <v>146</v>
      </c>
      <c r="D17" s="6">
        <v>7</v>
      </c>
      <c r="E17">
        <v>-7097.03</v>
      </c>
      <c r="F17" s="1">
        <v>45309.611111111109</v>
      </c>
      <c r="G17">
        <v>2024</v>
      </c>
      <c r="H17">
        <v>1</v>
      </c>
      <c r="I17">
        <v>18</v>
      </c>
      <c r="J17" t="s">
        <v>8</v>
      </c>
      <c r="K17" t="s">
        <v>9</v>
      </c>
      <c r="L17" t="s">
        <v>10</v>
      </c>
      <c r="M17" t="s">
        <v>11</v>
      </c>
    </row>
    <row r="18" spans="1:13" x14ac:dyDescent="0.2">
      <c r="A18">
        <v>1660</v>
      </c>
      <c r="B18" t="s">
        <v>84</v>
      </c>
      <c r="C18" s="3" t="s">
        <v>146</v>
      </c>
      <c r="D18" s="6">
        <v>7</v>
      </c>
      <c r="E18">
        <v>1000</v>
      </c>
      <c r="F18" s="1">
        <v>45379.285416666666</v>
      </c>
      <c r="G18">
        <v>2024</v>
      </c>
      <c r="H18">
        <v>3</v>
      </c>
      <c r="I18">
        <v>28</v>
      </c>
      <c r="J18" t="s">
        <v>8</v>
      </c>
      <c r="K18" t="s">
        <v>18</v>
      </c>
      <c r="L18" t="s">
        <v>10</v>
      </c>
      <c r="M18" t="s">
        <v>19</v>
      </c>
    </row>
    <row r="19" spans="1:13" x14ac:dyDescent="0.2">
      <c r="A19">
        <v>2981</v>
      </c>
      <c r="B19" t="s">
        <v>142</v>
      </c>
      <c r="C19" s="3" t="s">
        <v>146</v>
      </c>
      <c r="D19" s="6">
        <v>7</v>
      </c>
      <c r="E19">
        <v>5000</v>
      </c>
      <c r="F19" s="1">
        <v>45937.650694444441</v>
      </c>
      <c r="G19">
        <v>2025</v>
      </c>
      <c r="H19">
        <v>10</v>
      </c>
      <c r="I19">
        <v>7</v>
      </c>
      <c r="J19" t="s">
        <v>8</v>
      </c>
      <c r="K19" t="s">
        <v>91</v>
      </c>
      <c r="L19" t="s">
        <v>25</v>
      </c>
      <c r="M19" t="s">
        <v>26</v>
      </c>
    </row>
    <row r="20" spans="1:13" x14ac:dyDescent="0.2">
      <c r="A20">
        <v>1391</v>
      </c>
      <c r="B20" t="s">
        <v>81</v>
      </c>
      <c r="C20" s="3" t="s">
        <v>146</v>
      </c>
      <c r="D20" s="6">
        <v>8</v>
      </c>
      <c r="E20">
        <v>136.35</v>
      </c>
      <c r="F20" s="1">
        <v>45362.817361111112</v>
      </c>
      <c r="G20">
        <v>2024</v>
      </c>
      <c r="H20">
        <v>3</v>
      </c>
      <c r="I20">
        <v>11</v>
      </c>
      <c r="J20" t="s">
        <v>8</v>
      </c>
      <c r="K20" t="s">
        <v>24</v>
      </c>
      <c r="L20" t="s">
        <v>25</v>
      </c>
      <c r="M20" t="s">
        <v>26</v>
      </c>
    </row>
    <row r="21" spans="1:13" x14ac:dyDescent="0.2">
      <c r="A21">
        <v>1393</v>
      </c>
      <c r="B21" t="s">
        <v>12</v>
      </c>
      <c r="C21" s="3" t="s">
        <v>146</v>
      </c>
      <c r="D21" s="6">
        <v>8</v>
      </c>
      <c r="E21">
        <v>-136.41</v>
      </c>
      <c r="F21" s="1">
        <v>45362.820543981485</v>
      </c>
      <c r="G21">
        <v>2024</v>
      </c>
      <c r="H21">
        <v>3</v>
      </c>
      <c r="I21">
        <v>11</v>
      </c>
      <c r="J21" t="s">
        <v>8</v>
      </c>
      <c r="K21" t="s">
        <v>13</v>
      </c>
      <c r="L21" t="s">
        <v>10</v>
      </c>
      <c r="M21" t="s">
        <v>13</v>
      </c>
    </row>
    <row r="22" spans="1:13" x14ac:dyDescent="0.2">
      <c r="A22">
        <v>1649</v>
      </c>
      <c r="B22" t="s">
        <v>82</v>
      </c>
      <c r="C22" s="3" t="s">
        <v>146</v>
      </c>
      <c r="D22" s="4">
        <v>9</v>
      </c>
      <c r="E22">
        <v>-380</v>
      </c>
      <c r="F22" s="1">
        <v>45410.783333333333</v>
      </c>
      <c r="G22">
        <v>2024</v>
      </c>
      <c r="H22">
        <v>4</v>
      </c>
      <c r="I22">
        <v>28</v>
      </c>
      <c r="J22" t="s">
        <v>8</v>
      </c>
      <c r="K22" t="s">
        <v>9</v>
      </c>
      <c r="L22" t="s">
        <v>10</v>
      </c>
      <c r="M22" t="s">
        <v>11</v>
      </c>
    </row>
    <row r="23" spans="1:13" x14ac:dyDescent="0.2">
      <c r="A23">
        <v>1707</v>
      </c>
      <c r="B23" t="s">
        <v>82</v>
      </c>
      <c r="C23" s="3" t="s">
        <v>146</v>
      </c>
      <c r="D23" s="4">
        <v>9</v>
      </c>
      <c r="E23">
        <v>380</v>
      </c>
      <c r="F23" s="1">
        <v>45417.76357638889</v>
      </c>
      <c r="G23">
        <v>2024</v>
      </c>
      <c r="H23">
        <v>5</v>
      </c>
      <c r="I23">
        <v>5</v>
      </c>
      <c r="J23" t="s">
        <v>8</v>
      </c>
      <c r="K23" t="s">
        <v>18</v>
      </c>
      <c r="L23" t="s">
        <v>10</v>
      </c>
      <c r="M23" t="s">
        <v>19</v>
      </c>
    </row>
    <row r="24" spans="1:13" x14ac:dyDescent="0.2">
      <c r="A24">
        <v>1971</v>
      </c>
      <c r="B24" t="s">
        <v>90</v>
      </c>
      <c r="C24" s="3" t="s">
        <v>146</v>
      </c>
      <c r="D24" s="4">
        <v>10</v>
      </c>
      <c r="E24">
        <v>-17.850000000000001</v>
      </c>
      <c r="F24" s="1">
        <v>45470.414583333331</v>
      </c>
      <c r="G24">
        <v>2024</v>
      </c>
      <c r="H24">
        <v>6</v>
      </c>
      <c r="I24">
        <v>27</v>
      </c>
      <c r="J24" t="s">
        <v>8</v>
      </c>
      <c r="K24" t="s">
        <v>18</v>
      </c>
      <c r="L24" t="s">
        <v>10</v>
      </c>
      <c r="M24" t="s">
        <v>19</v>
      </c>
    </row>
    <row r="25" spans="1:13" x14ac:dyDescent="0.2">
      <c r="A25">
        <v>1966</v>
      </c>
      <c r="B25" t="s">
        <v>161</v>
      </c>
      <c r="C25" s="3" t="s">
        <v>146</v>
      </c>
      <c r="D25" s="4">
        <v>10</v>
      </c>
      <c r="E25">
        <v>17.850000000000001</v>
      </c>
      <c r="F25" s="1">
        <v>45472.411979166667</v>
      </c>
      <c r="G25">
        <v>2024</v>
      </c>
      <c r="H25">
        <v>6</v>
      </c>
      <c r="I25">
        <v>29</v>
      </c>
      <c r="J25" t="s">
        <v>8</v>
      </c>
      <c r="K25" t="s">
        <v>18</v>
      </c>
      <c r="L25" t="s">
        <v>10</v>
      </c>
      <c r="M25" t="s">
        <v>19</v>
      </c>
    </row>
    <row r="26" spans="1:13" x14ac:dyDescent="0.2">
      <c r="A26">
        <v>2124</v>
      </c>
      <c r="B26" t="s">
        <v>162</v>
      </c>
      <c r="C26" s="3" t="s">
        <v>146</v>
      </c>
      <c r="D26" s="4">
        <v>11</v>
      </c>
      <c r="E26">
        <v>-1378</v>
      </c>
      <c r="F26" s="1">
        <v>45517.601388888892</v>
      </c>
      <c r="G26">
        <v>2024</v>
      </c>
      <c r="H26">
        <v>8</v>
      </c>
      <c r="I26">
        <v>13</v>
      </c>
      <c r="J26" t="s">
        <v>8</v>
      </c>
      <c r="K26" t="s">
        <v>9</v>
      </c>
      <c r="L26" t="s">
        <v>10</v>
      </c>
      <c r="M26" t="s">
        <v>11</v>
      </c>
    </row>
    <row r="27" spans="1:13" x14ac:dyDescent="0.2">
      <c r="A27">
        <v>2187</v>
      </c>
      <c r="B27" t="s">
        <v>163</v>
      </c>
      <c r="C27" s="3" t="s">
        <v>146</v>
      </c>
      <c r="D27" s="4">
        <v>11</v>
      </c>
      <c r="E27">
        <v>1378</v>
      </c>
      <c r="F27" s="1">
        <v>45536.42291666667</v>
      </c>
      <c r="G27">
        <v>2024</v>
      </c>
      <c r="H27">
        <v>9</v>
      </c>
      <c r="I27">
        <v>1</v>
      </c>
      <c r="J27" t="s">
        <v>8</v>
      </c>
      <c r="K27" t="s">
        <v>91</v>
      </c>
      <c r="L27" t="s">
        <v>25</v>
      </c>
      <c r="M27" t="s">
        <v>26</v>
      </c>
    </row>
    <row r="28" spans="1:13" x14ac:dyDescent="0.2">
      <c r="A28">
        <v>2327</v>
      </c>
      <c r="B28" t="s">
        <v>99</v>
      </c>
      <c r="C28" s="3" t="s">
        <v>146</v>
      </c>
      <c r="D28" s="6">
        <v>12</v>
      </c>
      <c r="E28">
        <v>-10000</v>
      </c>
      <c r="F28" s="1">
        <v>45572.711111111108</v>
      </c>
      <c r="G28">
        <v>2024</v>
      </c>
      <c r="H28">
        <v>10</v>
      </c>
      <c r="I28">
        <v>7</v>
      </c>
      <c r="J28" t="s">
        <v>8</v>
      </c>
      <c r="K28" t="s">
        <v>100</v>
      </c>
      <c r="L28" t="s">
        <v>101</v>
      </c>
      <c r="M28" t="s">
        <v>11</v>
      </c>
    </row>
    <row r="29" spans="1:13" x14ac:dyDescent="0.2">
      <c r="A29">
        <v>2329</v>
      </c>
      <c r="B29" t="s">
        <v>102</v>
      </c>
      <c r="C29" s="3" t="s">
        <v>146</v>
      </c>
      <c r="D29" s="6">
        <v>12</v>
      </c>
      <c r="E29">
        <v>4000</v>
      </c>
      <c r="F29" s="1">
        <v>45574.495138888888</v>
      </c>
      <c r="G29">
        <v>2024</v>
      </c>
      <c r="H29">
        <v>10</v>
      </c>
      <c r="I29">
        <v>9</v>
      </c>
      <c r="J29" t="s">
        <v>8</v>
      </c>
      <c r="K29" t="s">
        <v>91</v>
      </c>
      <c r="L29" t="s">
        <v>25</v>
      </c>
      <c r="M29" t="s">
        <v>26</v>
      </c>
    </row>
    <row r="30" spans="1:13" x14ac:dyDescent="0.2">
      <c r="A30">
        <v>2385</v>
      </c>
      <c r="B30" t="s">
        <v>113</v>
      </c>
      <c r="C30" s="3" t="s">
        <v>146</v>
      </c>
      <c r="D30" s="6">
        <v>12</v>
      </c>
      <c r="E30">
        <v>500</v>
      </c>
      <c r="F30" s="1">
        <v>45593.88486111111</v>
      </c>
      <c r="G30">
        <v>2024</v>
      </c>
      <c r="H30">
        <v>10</v>
      </c>
      <c r="I30">
        <v>28</v>
      </c>
      <c r="J30" t="s">
        <v>8</v>
      </c>
      <c r="K30" t="s">
        <v>18</v>
      </c>
      <c r="L30" t="s">
        <v>10</v>
      </c>
      <c r="M30" t="s">
        <v>19</v>
      </c>
    </row>
    <row r="31" spans="1:13" x14ac:dyDescent="0.2">
      <c r="A31">
        <v>2465</v>
      </c>
      <c r="B31" t="s">
        <v>119</v>
      </c>
      <c r="C31" s="3" t="s">
        <v>146</v>
      </c>
      <c r="D31" s="6">
        <v>12</v>
      </c>
      <c r="E31">
        <v>500</v>
      </c>
      <c r="F31" s="1">
        <v>45622.928472222222</v>
      </c>
      <c r="G31">
        <v>2024</v>
      </c>
      <c r="H31">
        <v>11</v>
      </c>
      <c r="I31">
        <v>26</v>
      </c>
      <c r="J31" t="s">
        <v>8</v>
      </c>
      <c r="K31" t="s">
        <v>91</v>
      </c>
      <c r="L31" t="s">
        <v>25</v>
      </c>
      <c r="M31" t="s">
        <v>26</v>
      </c>
    </row>
    <row r="32" spans="1:13" x14ac:dyDescent="0.2">
      <c r="A32">
        <v>2610</v>
      </c>
      <c r="B32" t="s">
        <v>123</v>
      </c>
      <c r="C32" s="3" t="s">
        <v>146</v>
      </c>
      <c r="D32" s="6">
        <v>12</v>
      </c>
      <c r="E32">
        <v>1000</v>
      </c>
      <c r="F32" s="1">
        <v>45655.403483796297</v>
      </c>
      <c r="G32">
        <v>2024</v>
      </c>
      <c r="H32">
        <v>12</v>
      </c>
      <c r="I32">
        <v>29</v>
      </c>
      <c r="J32" t="s">
        <v>8</v>
      </c>
      <c r="K32" t="s">
        <v>18</v>
      </c>
      <c r="L32" t="s">
        <v>10</v>
      </c>
      <c r="M32" t="s">
        <v>19</v>
      </c>
    </row>
    <row r="33" spans="1:13" x14ac:dyDescent="0.2">
      <c r="A33">
        <v>2655</v>
      </c>
      <c r="B33" t="s">
        <v>124</v>
      </c>
      <c r="C33" s="3" t="s">
        <v>146</v>
      </c>
      <c r="D33" s="4">
        <v>13</v>
      </c>
      <c r="E33">
        <v>-27.15</v>
      </c>
      <c r="F33" s="1">
        <v>45682.59375</v>
      </c>
      <c r="G33">
        <v>2025</v>
      </c>
      <c r="H33">
        <v>1</v>
      </c>
      <c r="I33">
        <v>25</v>
      </c>
      <c r="J33" t="s">
        <v>8</v>
      </c>
      <c r="K33" t="s">
        <v>106</v>
      </c>
      <c r="L33" t="s">
        <v>107</v>
      </c>
      <c r="M33" t="s">
        <v>11</v>
      </c>
    </row>
    <row r="34" spans="1:13" x14ac:dyDescent="0.2">
      <c r="A34">
        <v>2693</v>
      </c>
      <c r="B34" t="s">
        <v>127</v>
      </c>
      <c r="C34" s="3" t="s">
        <v>146</v>
      </c>
      <c r="D34" s="4">
        <v>13</v>
      </c>
      <c r="E34">
        <v>27.15</v>
      </c>
      <c r="F34" s="1">
        <v>45691.72760416667</v>
      </c>
      <c r="G34">
        <v>2025</v>
      </c>
      <c r="H34">
        <v>2</v>
      </c>
      <c r="I34">
        <v>3</v>
      </c>
      <c r="J34" t="s">
        <v>8</v>
      </c>
      <c r="K34" t="s">
        <v>18</v>
      </c>
      <c r="L34" t="s">
        <v>10</v>
      </c>
      <c r="M34" t="s">
        <v>19</v>
      </c>
    </row>
    <row r="35" spans="1:13" x14ac:dyDescent="0.2">
      <c r="A35">
        <v>2658</v>
      </c>
      <c r="B35" t="s">
        <v>125</v>
      </c>
      <c r="C35" s="3" t="s">
        <v>146</v>
      </c>
      <c r="D35" s="4">
        <v>14</v>
      </c>
      <c r="E35">
        <v>-50</v>
      </c>
      <c r="F35" s="1">
        <v>45686.792997685188</v>
      </c>
      <c r="G35">
        <v>2025</v>
      </c>
      <c r="H35">
        <v>1</v>
      </c>
      <c r="I35">
        <v>29</v>
      </c>
      <c r="J35" t="s">
        <v>8</v>
      </c>
      <c r="K35" t="s">
        <v>18</v>
      </c>
      <c r="L35" t="s">
        <v>10</v>
      </c>
      <c r="M35" t="s">
        <v>19</v>
      </c>
    </row>
    <row r="36" spans="1:13" x14ac:dyDescent="0.2">
      <c r="A36">
        <v>2695</v>
      </c>
      <c r="B36" t="s">
        <v>128</v>
      </c>
      <c r="C36" s="3" t="s">
        <v>146</v>
      </c>
      <c r="D36" s="4">
        <v>14</v>
      </c>
      <c r="E36">
        <v>50</v>
      </c>
      <c r="F36" s="1">
        <v>45691.727824074071</v>
      </c>
      <c r="G36">
        <v>2025</v>
      </c>
      <c r="H36">
        <v>2</v>
      </c>
      <c r="I36">
        <v>3</v>
      </c>
      <c r="J36" t="s">
        <v>8</v>
      </c>
      <c r="K36" t="s">
        <v>18</v>
      </c>
      <c r="L36" t="s">
        <v>10</v>
      </c>
      <c r="M36" t="s">
        <v>19</v>
      </c>
    </row>
    <row r="37" spans="1:13" x14ac:dyDescent="0.2">
      <c r="A37">
        <v>2872</v>
      </c>
      <c r="B37" t="s">
        <v>133</v>
      </c>
      <c r="C37" s="3" t="s">
        <v>146</v>
      </c>
      <c r="D37" s="6">
        <v>15</v>
      </c>
      <c r="E37">
        <v>-1061.3399999999999</v>
      </c>
      <c r="F37" s="1">
        <v>45771.640972222223</v>
      </c>
      <c r="G37">
        <v>2025</v>
      </c>
      <c r="H37">
        <v>4</v>
      </c>
      <c r="I37">
        <v>24</v>
      </c>
      <c r="J37" t="s">
        <v>8</v>
      </c>
      <c r="K37" t="s">
        <v>134</v>
      </c>
      <c r="L37" t="s">
        <v>135</v>
      </c>
      <c r="M37" t="s">
        <v>11</v>
      </c>
    </row>
    <row r="38" spans="1:13" x14ac:dyDescent="0.2">
      <c r="A38">
        <v>2896</v>
      </c>
      <c r="B38" t="s">
        <v>138</v>
      </c>
      <c r="C38" s="3" t="s">
        <v>146</v>
      </c>
      <c r="D38" s="6">
        <v>15</v>
      </c>
      <c r="E38">
        <v>1020</v>
      </c>
      <c r="F38" s="1">
        <v>45826.630555555559</v>
      </c>
      <c r="G38">
        <v>2025</v>
      </c>
      <c r="H38">
        <v>6</v>
      </c>
      <c r="I38">
        <v>18</v>
      </c>
      <c r="J38" t="s">
        <v>8</v>
      </c>
      <c r="K38" t="s">
        <v>91</v>
      </c>
      <c r="L38" t="s">
        <v>25</v>
      </c>
      <c r="M38" t="s">
        <v>26</v>
      </c>
    </row>
    <row r="39" spans="1:13" x14ac:dyDescent="0.2">
      <c r="A39">
        <v>2899</v>
      </c>
      <c r="B39" t="s">
        <v>167</v>
      </c>
      <c r="C39" s="3" t="s">
        <v>146</v>
      </c>
      <c r="D39" s="4">
        <v>16</v>
      </c>
      <c r="E39">
        <v>-380</v>
      </c>
      <c r="F39" s="1">
        <v>45835.428472222222</v>
      </c>
      <c r="G39">
        <v>2025</v>
      </c>
      <c r="H39">
        <v>6</v>
      </c>
      <c r="I39">
        <v>27</v>
      </c>
      <c r="J39" t="s">
        <v>8</v>
      </c>
      <c r="K39" t="s">
        <v>9</v>
      </c>
      <c r="L39" t="s">
        <v>10</v>
      </c>
      <c r="M39" t="s">
        <v>11</v>
      </c>
    </row>
    <row r="40" spans="1:13" x14ac:dyDescent="0.2">
      <c r="A40">
        <v>2900</v>
      </c>
      <c r="B40" t="s">
        <v>168</v>
      </c>
      <c r="C40" s="3" t="s">
        <v>146</v>
      </c>
      <c r="D40" s="4">
        <v>16</v>
      </c>
      <c r="E40">
        <v>-361.41</v>
      </c>
      <c r="F40" s="1">
        <v>45836.538194444445</v>
      </c>
      <c r="G40">
        <v>2025</v>
      </c>
      <c r="H40">
        <v>6</v>
      </c>
      <c r="I40">
        <v>28</v>
      </c>
      <c r="J40" t="s">
        <v>8</v>
      </c>
      <c r="K40" t="s">
        <v>9</v>
      </c>
      <c r="L40" t="s">
        <v>10</v>
      </c>
      <c r="M40" t="s">
        <v>11</v>
      </c>
    </row>
    <row r="41" spans="1:13" x14ac:dyDescent="0.2">
      <c r="A41">
        <v>2931</v>
      </c>
      <c r="B41" t="s">
        <v>164</v>
      </c>
      <c r="C41" s="3" t="s">
        <v>146</v>
      </c>
      <c r="D41" s="4">
        <v>16</v>
      </c>
      <c r="E41">
        <v>741.41</v>
      </c>
      <c r="F41" s="1">
        <v>45866.429861111108</v>
      </c>
      <c r="G41">
        <v>2025</v>
      </c>
      <c r="H41">
        <v>7</v>
      </c>
      <c r="I41">
        <v>28</v>
      </c>
      <c r="J41" t="s">
        <v>8</v>
      </c>
      <c r="K41" t="s">
        <v>91</v>
      </c>
      <c r="L41" t="s">
        <v>25</v>
      </c>
      <c r="M41" t="s">
        <v>26</v>
      </c>
    </row>
    <row r="42" spans="1:13" x14ac:dyDescent="0.2">
      <c r="A42">
        <v>2340</v>
      </c>
      <c r="B42" t="s">
        <v>165</v>
      </c>
      <c r="C42" s="3" t="s">
        <v>146</v>
      </c>
      <c r="D42" s="4">
        <v>17</v>
      </c>
      <c r="E42">
        <v>-500</v>
      </c>
      <c r="F42" s="1">
        <v>45577.859722222223</v>
      </c>
      <c r="G42">
        <v>2024</v>
      </c>
      <c r="H42">
        <v>10</v>
      </c>
      <c r="I42">
        <v>12</v>
      </c>
      <c r="J42" t="s">
        <v>8</v>
      </c>
      <c r="K42" t="s">
        <v>9</v>
      </c>
      <c r="L42" t="s">
        <v>10</v>
      </c>
      <c r="M42" t="s">
        <v>11</v>
      </c>
    </row>
    <row r="43" spans="1:13" x14ac:dyDescent="0.2">
      <c r="A43">
        <v>2980</v>
      </c>
      <c r="B43" t="s">
        <v>141</v>
      </c>
      <c r="C43" s="3" t="s">
        <v>146</v>
      </c>
      <c r="D43" s="4">
        <v>17</v>
      </c>
      <c r="E43">
        <v>500</v>
      </c>
      <c r="F43" s="1">
        <v>45937.645833333336</v>
      </c>
      <c r="G43">
        <v>2025</v>
      </c>
      <c r="H43">
        <v>10</v>
      </c>
      <c r="I43">
        <v>7</v>
      </c>
      <c r="J43" t="s">
        <v>8</v>
      </c>
      <c r="K43" t="s">
        <v>91</v>
      </c>
      <c r="L43" t="s">
        <v>25</v>
      </c>
      <c r="M43" t="s">
        <v>26</v>
      </c>
    </row>
    <row r="44" spans="1:13" x14ac:dyDescent="0.2">
      <c r="A44">
        <v>2370</v>
      </c>
      <c r="B44" t="s">
        <v>108</v>
      </c>
      <c r="C44" s="3" t="s">
        <v>146</v>
      </c>
      <c r="D44" s="4">
        <v>18</v>
      </c>
      <c r="E44">
        <v>-13.85</v>
      </c>
      <c r="F44" s="1">
        <v>45592.376388888886</v>
      </c>
      <c r="G44">
        <v>2024</v>
      </c>
      <c r="H44">
        <v>10</v>
      </c>
      <c r="I44">
        <v>27</v>
      </c>
      <c r="J44" t="s">
        <v>8</v>
      </c>
      <c r="K44" t="s">
        <v>109</v>
      </c>
      <c r="L44" t="s">
        <v>107</v>
      </c>
      <c r="M44" t="s">
        <v>11</v>
      </c>
    </row>
    <row r="45" spans="1:13" x14ac:dyDescent="0.2">
      <c r="A45">
        <v>2374</v>
      </c>
      <c r="B45" t="s">
        <v>110</v>
      </c>
      <c r="C45" s="3" t="s">
        <v>146</v>
      </c>
      <c r="D45" s="4">
        <v>18</v>
      </c>
      <c r="E45">
        <v>13.85</v>
      </c>
      <c r="F45" s="1">
        <v>45593.861539351848</v>
      </c>
      <c r="G45">
        <v>2024</v>
      </c>
      <c r="H45">
        <v>10</v>
      </c>
      <c r="I45">
        <v>28</v>
      </c>
      <c r="J45" t="s">
        <v>8</v>
      </c>
      <c r="K45" t="s">
        <v>18</v>
      </c>
      <c r="L45" t="s">
        <v>10</v>
      </c>
      <c r="M45" t="s">
        <v>19</v>
      </c>
    </row>
    <row r="46" spans="1:13" x14ac:dyDescent="0.2">
      <c r="A46">
        <v>814</v>
      </c>
      <c r="B46" t="s">
        <v>169</v>
      </c>
      <c r="C46" s="3" t="s">
        <v>146</v>
      </c>
      <c r="D46" s="4">
        <v>19</v>
      </c>
      <c r="E46">
        <v>-10</v>
      </c>
      <c r="F46" s="1">
        <v>45222.591516203705</v>
      </c>
      <c r="G46">
        <v>2023</v>
      </c>
      <c r="H46">
        <v>10</v>
      </c>
      <c r="I46">
        <v>23</v>
      </c>
      <c r="J46" t="s">
        <v>8</v>
      </c>
      <c r="K46" t="s">
        <v>18</v>
      </c>
      <c r="L46" t="s">
        <v>10</v>
      </c>
      <c r="M46" t="s">
        <v>19</v>
      </c>
    </row>
    <row r="47" spans="1:13" x14ac:dyDescent="0.2">
      <c r="A47">
        <v>819</v>
      </c>
      <c r="B47" t="s">
        <v>77</v>
      </c>
      <c r="C47" s="3" t="s">
        <v>146</v>
      </c>
      <c r="D47" s="4">
        <v>19</v>
      </c>
      <c r="E47">
        <v>-20</v>
      </c>
      <c r="F47" s="1">
        <v>45222.789212962962</v>
      </c>
      <c r="G47">
        <v>2023</v>
      </c>
      <c r="H47">
        <v>10</v>
      </c>
      <c r="I47">
        <v>23</v>
      </c>
      <c r="J47" t="s">
        <v>8</v>
      </c>
      <c r="K47" t="s">
        <v>18</v>
      </c>
      <c r="L47" t="s">
        <v>10</v>
      </c>
      <c r="M47" t="s">
        <v>19</v>
      </c>
    </row>
    <row r="48" spans="1:13" x14ac:dyDescent="0.2">
      <c r="A48">
        <v>825</v>
      </c>
      <c r="B48" t="s">
        <v>170</v>
      </c>
      <c r="C48" s="3" t="s">
        <v>146</v>
      </c>
      <c r="D48" s="4">
        <v>19</v>
      </c>
      <c r="E48">
        <v>-20</v>
      </c>
      <c r="F48" s="1">
        <v>45226.310532407406</v>
      </c>
      <c r="G48">
        <v>2023</v>
      </c>
      <c r="H48">
        <v>10</v>
      </c>
      <c r="I48">
        <v>27</v>
      </c>
      <c r="J48" t="s">
        <v>8</v>
      </c>
      <c r="K48" t="s">
        <v>18</v>
      </c>
      <c r="L48" t="s">
        <v>10</v>
      </c>
      <c r="M48" t="s">
        <v>19</v>
      </c>
    </row>
    <row r="49" spans="1:13" x14ac:dyDescent="0.2">
      <c r="A49">
        <v>828</v>
      </c>
      <c r="B49" t="s">
        <v>171</v>
      </c>
      <c r="C49" s="3" t="s">
        <v>146</v>
      </c>
      <c r="D49" s="4">
        <v>19</v>
      </c>
      <c r="E49">
        <v>-100</v>
      </c>
      <c r="F49" s="1">
        <v>45228.784675925926</v>
      </c>
      <c r="G49">
        <v>2023</v>
      </c>
      <c r="H49">
        <v>10</v>
      </c>
      <c r="I49">
        <v>29</v>
      </c>
      <c r="J49" t="s">
        <v>8</v>
      </c>
      <c r="K49" t="s">
        <v>18</v>
      </c>
      <c r="L49" t="s">
        <v>10</v>
      </c>
      <c r="M49" t="s">
        <v>19</v>
      </c>
    </row>
    <row r="50" spans="1:13" x14ac:dyDescent="0.2">
      <c r="A50">
        <v>832</v>
      </c>
      <c r="B50" t="s">
        <v>78</v>
      </c>
      <c r="C50" s="3" t="s">
        <v>146</v>
      </c>
      <c r="D50" s="4">
        <v>19</v>
      </c>
      <c r="E50">
        <v>150</v>
      </c>
      <c r="F50" s="1">
        <v>45230.335347222222</v>
      </c>
      <c r="G50">
        <v>2023</v>
      </c>
      <c r="H50">
        <v>10</v>
      </c>
      <c r="I50">
        <v>31</v>
      </c>
      <c r="J50" t="s">
        <v>8</v>
      </c>
      <c r="K50" t="s">
        <v>18</v>
      </c>
      <c r="L50" t="s">
        <v>10</v>
      </c>
      <c r="M50" t="s">
        <v>19</v>
      </c>
    </row>
    <row r="51" spans="1:13" x14ac:dyDescent="0.2">
      <c r="A51">
        <v>1969</v>
      </c>
      <c r="B51" t="s">
        <v>89</v>
      </c>
      <c r="C51" s="3" t="s">
        <v>146</v>
      </c>
      <c r="D51" s="4">
        <v>20</v>
      </c>
      <c r="E51">
        <v>-185</v>
      </c>
      <c r="F51" s="1">
        <v>45470.413888888892</v>
      </c>
      <c r="G51">
        <v>2024</v>
      </c>
      <c r="H51">
        <v>6</v>
      </c>
      <c r="I51">
        <v>27</v>
      </c>
      <c r="J51" t="s">
        <v>8</v>
      </c>
      <c r="K51" t="s">
        <v>18</v>
      </c>
      <c r="L51" t="s">
        <v>10</v>
      </c>
      <c r="M51" t="s">
        <v>19</v>
      </c>
    </row>
    <row r="52" spans="1:13" x14ac:dyDescent="0.2">
      <c r="A52">
        <v>1964</v>
      </c>
      <c r="B52" t="s">
        <v>87</v>
      </c>
      <c r="C52" s="3" t="s">
        <v>146</v>
      </c>
      <c r="D52" s="4">
        <v>20</v>
      </c>
      <c r="E52">
        <v>185</v>
      </c>
      <c r="F52" s="1">
        <v>45472.411678240744</v>
      </c>
      <c r="G52">
        <v>2024</v>
      </c>
      <c r="H52">
        <v>6</v>
      </c>
      <c r="I52">
        <v>29</v>
      </c>
      <c r="J52" t="s">
        <v>8</v>
      </c>
      <c r="K52" t="s">
        <v>18</v>
      </c>
      <c r="L52" t="s">
        <v>10</v>
      </c>
      <c r="M52" t="s">
        <v>19</v>
      </c>
    </row>
    <row r="53" spans="1:13" x14ac:dyDescent="0.2">
      <c r="A53">
        <v>1958</v>
      </c>
      <c r="B53" t="s">
        <v>86</v>
      </c>
      <c r="C53" s="3" t="s">
        <v>146</v>
      </c>
      <c r="D53" s="4">
        <v>21</v>
      </c>
      <c r="E53">
        <v>-10</v>
      </c>
      <c r="F53" s="1">
        <v>45470.861435185187</v>
      </c>
      <c r="G53">
        <v>2024</v>
      </c>
      <c r="H53">
        <v>6</v>
      </c>
      <c r="I53">
        <v>27</v>
      </c>
      <c r="J53" t="s">
        <v>8</v>
      </c>
      <c r="K53" t="s">
        <v>18</v>
      </c>
      <c r="L53" t="s">
        <v>10</v>
      </c>
      <c r="M53" t="s">
        <v>19</v>
      </c>
    </row>
    <row r="54" spans="1:13" x14ac:dyDescent="0.2">
      <c r="A54">
        <v>1968</v>
      </c>
      <c r="B54" t="s">
        <v>88</v>
      </c>
      <c r="C54" s="3" t="s">
        <v>146</v>
      </c>
      <c r="D54" s="4">
        <v>21</v>
      </c>
      <c r="E54">
        <v>10</v>
      </c>
      <c r="F54" s="1">
        <v>45472.412152777775</v>
      </c>
      <c r="G54">
        <v>2024</v>
      </c>
      <c r="H54">
        <v>6</v>
      </c>
      <c r="I54">
        <v>29</v>
      </c>
      <c r="J54" t="s">
        <v>8</v>
      </c>
      <c r="K54" t="s">
        <v>18</v>
      </c>
      <c r="L54" t="s">
        <v>10</v>
      </c>
      <c r="M54" t="s">
        <v>19</v>
      </c>
    </row>
    <row r="55" spans="1:13" x14ac:dyDescent="0.2">
      <c r="A55">
        <v>2366</v>
      </c>
      <c r="B55" t="s">
        <v>104</v>
      </c>
      <c r="C55" s="3" t="s">
        <v>146</v>
      </c>
      <c r="D55" s="4">
        <v>22</v>
      </c>
      <c r="E55">
        <v>-26</v>
      </c>
      <c r="F55" s="1">
        <v>45590.648611111108</v>
      </c>
      <c r="G55">
        <v>2024</v>
      </c>
      <c r="H55">
        <v>10</v>
      </c>
      <c r="I55">
        <v>25</v>
      </c>
      <c r="J55" t="s">
        <v>8</v>
      </c>
      <c r="K55" t="s">
        <v>35</v>
      </c>
      <c r="L55" t="s">
        <v>36</v>
      </c>
      <c r="M55" t="s">
        <v>11</v>
      </c>
    </row>
    <row r="56" spans="1:13" x14ac:dyDescent="0.2">
      <c r="A56">
        <v>2378</v>
      </c>
      <c r="B56" t="s">
        <v>112</v>
      </c>
      <c r="C56" s="3" t="s">
        <v>146</v>
      </c>
      <c r="D56" s="4">
        <v>22</v>
      </c>
      <c r="E56">
        <v>26</v>
      </c>
      <c r="F56" s="1">
        <v>45593.867118055554</v>
      </c>
      <c r="G56">
        <v>2024</v>
      </c>
      <c r="H56">
        <v>10</v>
      </c>
      <c r="I56">
        <v>28</v>
      </c>
      <c r="J56" t="s">
        <v>8</v>
      </c>
      <c r="K56" t="s">
        <v>18</v>
      </c>
      <c r="L56" t="s">
        <v>10</v>
      </c>
      <c r="M56" t="s">
        <v>19</v>
      </c>
    </row>
    <row r="57" spans="1:13" x14ac:dyDescent="0.2">
      <c r="A57">
        <v>2369</v>
      </c>
      <c r="B57" t="s">
        <v>105</v>
      </c>
      <c r="C57" s="3" t="s">
        <v>146</v>
      </c>
      <c r="D57" s="4">
        <v>23</v>
      </c>
      <c r="E57">
        <v>-20</v>
      </c>
      <c r="F57" s="1">
        <v>45591.554861111108</v>
      </c>
      <c r="G57">
        <v>2024</v>
      </c>
      <c r="H57">
        <v>10</v>
      </c>
      <c r="I57">
        <v>26</v>
      </c>
      <c r="J57" t="s">
        <v>8</v>
      </c>
      <c r="K57" t="s">
        <v>106</v>
      </c>
      <c r="L57" t="s">
        <v>107</v>
      </c>
      <c r="M57" t="s">
        <v>11</v>
      </c>
    </row>
    <row r="58" spans="1:13" x14ac:dyDescent="0.2">
      <c r="A58">
        <v>2376</v>
      </c>
      <c r="B58" t="s">
        <v>111</v>
      </c>
      <c r="C58" s="3" t="s">
        <v>146</v>
      </c>
      <c r="D58" s="4">
        <v>23</v>
      </c>
      <c r="E58">
        <v>20</v>
      </c>
      <c r="F58" s="1">
        <v>45593.866655092592</v>
      </c>
      <c r="G58">
        <v>2024</v>
      </c>
      <c r="H58">
        <v>10</v>
      </c>
      <c r="I58">
        <v>28</v>
      </c>
      <c r="J58" t="s">
        <v>8</v>
      </c>
      <c r="K58" t="s">
        <v>18</v>
      </c>
      <c r="L58" t="s">
        <v>10</v>
      </c>
      <c r="M58" t="s">
        <v>19</v>
      </c>
    </row>
    <row r="59" spans="1:13" x14ac:dyDescent="0.2">
      <c r="A59">
        <v>2356</v>
      </c>
      <c r="B59" t="s">
        <v>103</v>
      </c>
      <c r="C59" s="3" t="s">
        <v>146</v>
      </c>
      <c r="D59" s="4">
        <v>24</v>
      </c>
      <c r="E59">
        <v>-833.37</v>
      </c>
      <c r="F59" s="1">
        <v>45583.631249999999</v>
      </c>
      <c r="G59">
        <v>2024</v>
      </c>
      <c r="H59">
        <v>10</v>
      </c>
      <c r="I59">
        <v>18</v>
      </c>
      <c r="J59" t="s">
        <v>8</v>
      </c>
      <c r="K59" t="s">
        <v>9</v>
      </c>
      <c r="L59" t="s">
        <v>10</v>
      </c>
      <c r="M59" t="s">
        <v>11</v>
      </c>
    </row>
    <row r="60" spans="1:13" x14ac:dyDescent="0.2">
      <c r="A60">
        <v>2427</v>
      </c>
      <c r="B60" t="s">
        <v>115</v>
      </c>
      <c r="C60" s="3" t="s">
        <v>146</v>
      </c>
      <c r="D60" s="4">
        <v>24</v>
      </c>
      <c r="E60">
        <v>847</v>
      </c>
      <c r="F60" s="1">
        <v>45608.680243055554</v>
      </c>
      <c r="G60">
        <v>2024</v>
      </c>
      <c r="H60">
        <v>11</v>
      </c>
      <c r="I60">
        <v>12</v>
      </c>
      <c r="J60" t="s">
        <v>8</v>
      </c>
      <c r="K60" t="s">
        <v>18</v>
      </c>
      <c r="L60" t="s">
        <v>10</v>
      </c>
      <c r="M60" t="s">
        <v>19</v>
      </c>
    </row>
    <row r="61" spans="1:13" x14ac:dyDescent="0.2">
      <c r="A61">
        <v>2428</v>
      </c>
      <c r="B61" t="s">
        <v>116</v>
      </c>
      <c r="C61" s="3" t="s">
        <v>146</v>
      </c>
      <c r="D61" s="4">
        <v>24</v>
      </c>
      <c r="E61">
        <v>-13.63</v>
      </c>
      <c r="F61" s="1">
        <v>45608.683206018519</v>
      </c>
      <c r="G61">
        <v>2024</v>
      </c>
      <c r="H61">
        <v>11</v>
      </c>
      <c r="I61">
        <v>12</v>
      </c>
      <c r="J61" t="s">
        <v>8</v>
      </c>
      <c r="K61" t="s">
        <v>18</v>
      </c>
      <c r="L61" t="s">
        <v>10</v>
      </c>
      <c r="M61" t="s">
        <v>19</v>
      </c>
    </row>
    <row r="62" spans="1:13" x14ac:dyDescent="0.2">
      <c r="A62">
        <v>2456</v>
      </c>
      <c r="B62" t="s">
        <v>117</v>
      </c>
      <c r="C62" s="3" t="s">
        <v>146</v>
      </c>
      <c r="D62" s="6">
        <v>25</v>
      </c>
      <c r="E62">
        <v>-145</v>
      </c>
      <c r="F62" s="1">
        <v>45619.466666666667</v>
      </c>
      <c r="G62">
        <v>2024</v>
      </c>
      <c r="H62">
        <v>11</v>
      </c>
      <c r="I62">
        <v>23</v>
      </c>
      <c r="J62" t="s">
        <v>8</v>
      </c>
      <c r="K62" t="s">
        <v>35</v>
      </c>
      <c r="L62" t="s">
        <v>36</v>
      </c>
      <c r="M62" t="s">
        <v>11</v>
      </c>
    </row>
    <row r="63" spans="1:13" x14ac:dyDescent="0.2">
      <c r="A63">
        <v>2460</v>
      </c>
      <c r="B63" t="s">
        <v>118</v>
      </c>
      <c r="C63" s="3" t="s">
        <v>146</v>
      </c>
      <c r="D63" s="6">
        <v>25</v>
      </c>
      <c r="E63">
        <v>140</v>
      </c>
      <c r="F63" s="1">
        <v>45625.923310185186</v>
      </c>
      <c r="G63">
        <v>2024</v>
      </c>
      <c r="H63">
        <v>11</v>
      </c>
      <c r="I63">
        <v>29</v>
      </c>
      <c r="J63" t="s">
        <v>8</v>
      </c>
      <c r="K63" t="s">
        <v>18</v>
      </c>
      <c r="L63" t="s">
        <v>10</v>
      </c>
      <c r="M63" t="s">
        <v>19</v>
      </c>
    </row>
    <row r="64" spans="1:13" x14ac:dyDescent="0.2">
      <c r="A64">
        <v>2508</v>
      </c>
      <c r="B64" t="s">
        <v>120</v>
      </c>
      <c r="C64" s="3" t="s">
        <v>146</v>
      </c>
      <c r="D64" s="4">
        <v>26</v>
      </c>
      <c r="E64">
        <v>-1085.8800000000001</v>
      </c>
      <c r="F64" s="1">
        <v>45630.324999999997</v>
      </c>
      <c r="G64">
        <v>2024</v>
      </c>
      <c r="H64">
        <v>12</v>
      </c>
      <c r="I64">
        <v>4</v>
      </c>
      <c r="J64" t="s">
        <v>8</v>
      </c>
      <c r="K64" t="s">
        <v>98</v>
      </c>
      <c r="L64" t="s">
        <v>97</v>
      </c>
      <c r="M64" t="s">
        <v>11</v>
      </c>
    </row>
    <row r="65" spans="1:13" x14ac:dyDescent="0.2">
      <c r="A65">
        <v>2593</v>
      </c>
      <c r="B65" t="s">
        <v>121</v>
      </c>
      <c r="C65" s="3" t="s">
        <v>146</v>
      </c>
      <c r="D65" s="4">
        <v>26</v>
      </c>
      <c r="E65">
        <v>1085.8800000000001</v>
      </c>
      <c r="F65" s="1">
        <v>45654.476435185185</v>
      </c>
      <c r="G65">
        <v>2024</v>
      </c>
      <c r="H65">
        <v>12</v>
      </c>
      <c r="I65">
        <v>28</v>
      </c>
      <c r="J65" t="s">
        <v>8</v>
      </c>
      <c r="K65" t="s">
        <v>18</v>
      </c>
      <c r="L65" t="s">
        <v>10</v>
      </c>
      <c r="M65" t="s">
        <v>19</v>
      </c>
    </row>
    <row r="66" spans="1:13" x14ac:dyDescent="0.2">
      <c r="A66">
        <v>2653</v>
      </c>
      <c r="B66" t="s">
        <v>174</v>
      </c>
      <c r="C66" s="3" t="s">
        <v>146</v>
      </c>
      <c r="D66" s="4">
        <v>27</v>
      </c>
      <c r="E66">
        <v>-20</v>
      </c>
      <c r="F66" s="1">
        <v>45679.316354166665</v>
      </c>
      <c r="G66">
        <v>2025</v>
      </c>
      <c r="H66">
        <v>1</v>
      </c>
      <c r="I66">
        <v>22</v>
      </c>
      <c r="J66" t="s">
        <v>8</v>
      </c>
      <c r="K66" t="s">
        <v>18</v>
      </c>
      <c r="L66" t="s">
        <v>10</v>
      </c>
      <c r="M66" t="s">
        <v>19</v>
      </c>
    </row>
    <row r="67" spans="1:13" x14ac:dyDescent="0.2">
      <c r="A67">
        <v>2691</v>
      </c>
      <c r="B67" t="s">
        <v>164</v>
      </c>
      <c r="C67" s="3" t="s">
        <v>146</v>
      </c>
      <c r="D67" s="4">
        <v>27</v>
      </c>
      <c r="E67">
        <v>20</v>
      </c>
      <c r="F67" s="1">
        <v>45691.727372685185</v>
      </c>
      <c r="G67">
        <v>2025</v>
      </c>
      <c r="H67">
        <v>2</v>
      </c>
      <c r="I67">
        <v>3</v>
      </c>
      <c r="J67" t="s">
        <v>8</v>
      </c>
      <c r="K67" t="s">
        <v>18</v>
      </c>
      <c r="L67" t="s">
        <v>10</v>
      </c>
      <c r="M67" t="s">
        <v>19</v>
      </c>
    </row>
    <row r="68" spans="1:13" x14ac:dyDescent="0.2">
      <c r="A68">
        <v>2286</v>
      </c>
      <c r="B68" t="s">
        <v>77</v>
      </c>
      <c r="C68" s="3" t="s">
        <v>146</v>
      </c>
      <c r="D68" s="6">
        <v>28</v>
      </c>
      <c r="E68">
        <v>-50</v>
      </c>
      <c r="F68" s="1">
        <v>45565.581689814811</v>
      </c>
      <c r="G68">
        <v>2024</v>
      </c>
      <c r="H68">
        <v>9</v>
      </c>
      <c r="I68">
        <v>30</v>
      </c>
      <c r="J68" t="s">
        <v>8</v>
      </c>
      <c r="K68" t="s">
        <v>18</v>
      </c>
      <c r="L68" t="s">
        <v>10</v>
      </c>
      <c r="M68" t="s">
        <v>19</v>
      </c>
    </row>
    <row r="69" spans="1:13" x14ac:dyDescent="0.2">
      <c r="A69">
        <v>2289</v>
      </c>
      <c r="B69" t="s">
        <v>181</v>
      </c>
      <c r="C69" s="3" t="s">
        <v>146</v>
      </c>
      <c r="D69" s="6">
        <v>28</v>
      </c>
      <c r="E69">
        <v>340.95</v>
      </c>
      <c r="F69" s="1">
        <v>45566.649282407408</v>
      </c>
      <c r="G69">
        <v>2024</v>
      </c>
      <c r="H69">
        <v>10</v>
      </c>
      <c r="I69">
        <v>1</v>
      </c>
      <c r="J69" t="s">
        <v>8</v>
      </c>
      <c r="K69" t="s">
        <v>18</v>
      </c>
      <c r="L69" t="s">
        <v>10</v>
      </c>
      <c r="M69" t="s">
        <v>19</v>
      </c>
    </row>
    <row r="70" spans="1:13" x14ac:dyDescent="0.2">
      <c r="A70">
        <v>2277</v>
      </c>
      <c r="B70" t="s">
        <v>93</v>
      </c>
      <c r="C70" s="3" t="s">
        <v>146</v>
      </c>
      <c r="D70" s="6">
        <v>28</v>
      </c>
      <c r="E70">
        <v>-200</v>
      </c>
      <c r="F70" s="1">
        <v>45561.527083333334</v>
      </c>
      <c r="G70">
        <v>2024</v>
      </c>
      <c r="H70">
        <v>9</v>
      </c>
      <c r="I70">
        <v>26</v>
      </c>
      <c r="J70" t="s">
        <v>8</v>
      </c>
      <c r="K70" t="s">
        <v>35</v>
      </c>
      <c r="L70" t="s">
        <v>36</v>
      </c>
      <c r="M70" t="s">
        <v>11</v>
      </c>
    </row>
    <row r="71" spans="1:13" x14ac:dyDescent="0.2">
      <c r="A71">
        <v>2282</v>
      </c>
      <c r="B71" t="s">
        <v>182</v>
      </c>
      <c r="C71" s="3" t="s">
        <v>146</v>
      </c>
      <c r="D71" s="6">
        <v>28</v>
      </c>
      <c r="E71">
        <v>-18.45</v>
      </c>
      <c r="F71" s="1">
        <v>45563.640277777777</v>
      </c>
      <c r="G71">
        <v>2024</v>
      </c>
      <c r="H71">
        <v>9</v>
      </c>
      <c r="I71">
        <v>28</v>
      </c>
      <c r="J71" t="s">
        <v>8</v>
      </c>
      <c r="K71" t="s">
        <v>94</v>
      </c>
      <c r="L71" t="s">
        <v>41</v>
      </c>
      <c r="M71" t="s">
        <v>11</v>
      </c>
    </row>
    <row r="72" spans="1:13" x14ac:dyDescent="0.2">
      <c r="A72">
        <v>2283</v>
      </c>
      <c r="B72" t="s">
        <v>95</v>
      </c>
      <c r="C72" s="3" t="s">
        <v>146</v>
      </c>
      <c r="D72" s="6">
        <v>28</v>
      </c>
      <c r="E72" s="5">
        <v>-55</v>
      </c>
      <c r="F72" s="1">
        <v>45564.408333333333</v>
      </c>
      <c r="G72">
        <v>2024</v>
      </c>
      <c r="H72">
        <v>9</v>
      </c>
      <c r="I72">
        <v>29</v>
      </c>
      <c r="J72" t="s">
        <v>8</v>
      </c>
      <c r="K72" t="s">
        <v>96</v>
      </c>
      <c r="L72" t="s">
        <v>97</v>
      </c>
      <c r="M72" t="s">
        <v>11</v>
      </c>
    </row>
    <row r="73" spans="1:13" x14ac:dyDescent="0.2">
      <c r="A73">
        <v>2284</v>
      </c>
      <c r="B73" t="s">
        <v>183</v>
      </c>
      <c r="C73" s="3" t="s">
        <v>146</v>
      </c>
      <c r="D73" s="6">
        <v>28</v>
      </c>
      <c r="E73">
        <v>-7.5</v>
      </c>
      <c r="F73" s="1">
        <v>45565.445833333331</v>
      </c>
      <c r="G73">
        <v>2024</v>
      </c>
      <c r="H73">
        <v>9</v>
      </c>
      <c r="I73">
        <v>30</v>
      </c>
      <c r="J73" t="s">
        <v>8</v>
      </c>
      <c r="K73" t="s">
        <v>98</v>
      </c>
      <c r="L73" t="s">
        <v>97</v>
      </c>
      <c r="M73" t="s">
        <v>11</v>
      </c>
    </row>
    <row r="74" spans="1:13" x14ac:dyDescent="0.2">
      <c r="A74">
        <v>2957</v>
      </c>
      <c r="B74" t="s">
        <v>166</v>
      </c>
      <c r="C74" s="3" t="s">
        <v>146</v>
      </c>
      <c r="D74" s="6">
        <v>28</v>
      </c>
      <c r="E74">
        <v>-815</v>
      </c>
      <c r="F74" s="1">
        <v>45879.699305555558</v>
      </c>
      <c r="G74">
        <v>2025</v>
      </c>
      <c r="H74">
        <v>8</v>
      </c>
      <c r="I74">
        <v>10</v>
      </c>
      <c r="J74" t="s">
        <v>8</v>
      </c>
      <c r="K74" t="s">
        <v>9</v>
      </c>
      <c r="L74" t="s">
        <v>10</v>
      </c>
      <c r="M74" t="s">
        <v>11</v>
      </c>
    </row>
    <row r="75" spans="1:13" x14ac:dyDescent="0.2">
      <c r="A75">
        <v>86</v>
      </c>
      <c r="B75" t="s">
        <v>184</v>
      </c>
      <c r="C75" s="3"/>
      <c r="D75" s="4"/>
      <c r="E75">
        <v>-50.4</v>
      </c>
      <c r="F75" s="1">
        <v>45067.748796296299</v>
      </c>
      <c r="G75">
        <v>2023</v>
      </c>
      <c r="H75">
        <v>5</v>
      </c>
      <c r="I75">
        <v>21</v>
      </c>
      <c r="J75" t="s">
        <v>8</v>
      </c>
      <c r="K75" t="s">
        <v>9</v>
      </c>
      <c r="L75" t="s">
        <v>10</v>
      </c>
      <c r="M75" t="s">
        <v>11</v>
      </c>
    </row>
    <row r="76" spans="1:13" x14ac:dyDescent="0.2">
      <c r="A76">
        <v>139</v>
      </c>
      <c r="B76" t="s">
        <v>12</v>
      </c>
      <c r="C76" s="3"/>
      <c r="D76" s="4"/>
      <c r="E76">
        <v>21793.29</v>
      </c>
      <c r="F76" s="1">
        <v>45078.803171296298</v>
      </c>
      <c r="G76">
        <v>2023</v>
      </c>
      <c r="H76">
        <v>6</v>
      </c>
      <c r="I76">
        <v>1</v>
      </c>
      <c r="J76" t="s">
        <v>8</v>
      </c>
      <c r="K76" t="s">
        <v>13</v>
      </c>
      <c r="L76" t="s">
        <v>10</v>
      </c>
      <c r="M76" t="s">
        <v>13</v>
      </c>
    </row>
    <row r="77" spans="1:13" x14ac:dyDescent="0.2">
      <c r="A77">
        <v>158</v>
      </c>
      <c r="B77" t="s">
        <v>14</v>
      </c>
      <c r="C77" s="3"/>
      <c r="D77" s="4"/>
      <c r="E77">
        <v>-79.150000000000006</v>
      </c>
      <c r="F77" s="1">
        <v>45080.926736111112</v>
      </c>
      <c r="G77">
        <v>2023</v>
      </c>
      <c r="H77">
        <v>6</v>
      </c>
      <c r="I77">
        <v>3</v>
      </c>
      <c r="J77" t="s">
        <v>8</v>
      </c>
      <c r="K77" t="s">
        <v>15</v>
      </c>
      <c r="L77" t="s">
        <v>10</v>
      </c>
      <c r="M77" t="s">
        <v>11</v>
      </c>
    </row>
    <row r="78" spans="1:13" x14ac:dyDescent="0.2">
      <c r="A78">
        <v>160</v>
      </c>
      <c r="B78" t="s">
        <v>172</v>
      </c>
      <c r="C78" s="3"/>
      <c r="D78" s="4"/>
      <c r="E78">
        <v>-160</v>
      </c>
      <c r="F78" s="1">
        <v>45080.927430555559</v>
      </c>
      <c r="G78">
        <v>2023</v>
      </c>
      <c r="H78">
        <v>6</v>
      </c>
      <c r="I78">
        <v>3</v>
      </c>
      <c r="J78" t="s">
        <v>8</v>
      </c>
      <c r="K78" t="s">
        <v>15</v>
      </c>
      <c r="L78" t="s">
        <v>10</v>
      </c>
      <c r="M78" t="s">
        <v>11</v>
      </c>
    </row>
    <row r="79" spans="1:13" x14ac:dyDescent="0.2">
      <c r="A79">
        <v>161</v>
      </c>
      <c r="B79" t="s">
        <v>16</v>
      </c>
      <c r="C79" s="3"/>
      <c r="D79" s="4"/>
      <c r="E79">
        <v>-137.5</v>
      </c>
      <c r="F79" s="1">
        <v>45080.927789351852</v>
      </c>
      <c r="G79">
        <v>2023</v>
      </c>
      <c r="H79">
        <v>6</v>
      </c>
      <c r="I79">
        <v>3</v>
      </c>
      <c r="J79" t="s">
        <v>8</v>
      </c>
      <c r="K79" t="s">
        <v>15</v>
      </c>
      <c r="L79" t="s">
        <v>10</v>
      </c>
      <c r="M79" t="s">
        <v>11</v>
      </c>
    </row>
    <row r="80" spans="1:13" x14ac:dyDescent="0.2">
      <c r="A80">
        <v>214</v>
      </c>
      <c r="B80" t="s">
        <v>20</v>
      </c>
      <c r="C80" s="3"/>
      <c r="D80" s="4"/>
      <c r="E80">
        <v>-137.5</v>
      </c>
      <c r="F80" s="1">
        <v>45088.833356481482</v>
      </c>
      <c r="G80">
        <v>2023</v>
      </c>
      <c r="H80">
        <v>6</v>
      </c>
      <c r="I80">
        <v>11</v>
      </c>
      <c r="J80" t="s">
        <v>8</v>
      </c>
      <c r="K80" t="s">
        <v>15</v>
      </c>
      <c r="L80" t="s">
        <v>10</v>
      </c>
      <c r="M80" t="s">
        <v>11</v>
      </c>
    </row>
    <row r="81" spans="1:13" x14ac:dyDescent="0.2">
      <c r="A81">
        <v>215</v>
      </c>
      <c r="B81" t="s">
        <v>21</v>
      </c>
      <c r="C81" s="3"/>
      <c r="D81" s="4"/>
      <c r="E81">
        <v>-137.5</v>
      </c>
      <c r="F81" s="1">
        <v>45088.83357638889</v>
      </c>
      <c r="G81">
        <v>2023</v>
      </c>
      <c r="H81">
        <v>6</v>
      </c>
      <c r="I81">
        <v>11</v>
      </c>
      <c r="J81" t="s">
        <v>8</v>
      </c>
      <c r="K81" t="s">
        <v>15</v>
      </c>
      <c r="L81" t="s">
        <v>10</v>
      </c>
      <c r="M81" t="s">
        <v>11</v>
      </c>
    </row>
    <row r="82" spans="1:13" x14ac:dyDescent="0.2">
      <c r="A82">
        <v>216</v>
      </c>
      <c r="B82" t="s">
        <v>22</v>
      </c>
      <c r="C82" s="3"/>
      <c r="D82" s="4"/>
      <c r="E82">
        <v>-109.47</v>
      </c>
      <c r="F82" s="1">
        <v>45088.833854166667</v>
      </c>
      <c r="G82">
        <v>2023</v>
      </c>
      <c r="H82">
        <v>6</v>
      </c>
      <c r="I82">
        <v>11</v>
      </c>
      <c r="J82" t="s">
        <v>8</v>
      </c>
      <c r="K82" t="s">
        <v>15</v>
      </c>
      <c r="L82" t="s">
        <v>10</v>
      </c>
      <c r="M82" t="s">
        <v>11</v>
      </c>
    </row>
    <row r="83" spans="1:13" x14ac:dyDescent="0.2">
      <c r="A83">
        <v>217</v>
      </c>
      <c r="B83" t="s">
        <v>23</v>
      </c>
      <c r="C83" s="3"/>
      <c r="D83" s="4"/>
      <c r="E83">
        <v>200</v>
      </c>
      <c r="F83" s="1">
        <v>45088.834409722222</v>
      </c>
      <c r="G83">
        <v>2023</v>
      </c>
      <c r="H83">
        <v>6</v>
      </c>
      <c r="I83">
        <v>11</v>
      </c>
      <c r="J83" t="s">
        <v>8</v>
      </c>
      <c r="K83" t="s">
        <v>24</v>
      </c>
      <c r="L83" t="s">
        <v>25</v>
      </c>
      <c r="M83" t="s">
        <v>26</v>
      </c>
    </row>
    <row r="84" spans="1:13" x14ac:dyDescent="0.2">
      <c r="A84">
        <v>234</v>
      </c>
      <c r="B84" t="s">
        <v>173</v>
      </c>
      <c r="C84" s="3"/>
      <c r="D84" s="4"/>
      <c r="E84">
        <v>-137.5</v>
      </c>
      <c r="F84" s="1">
        <v>45092.423842592594</v>
      </c>
      <c r="G84">
        <v>2023</v>
      </c>
      <c r="H84">
        <v>6</v>
      </c>
      <c r="I84">
        <v>15</v>
      </c>
      <c r="J84" t="s">
        <v>8</v>
      </c>
      <c r="K84" t="s">
        <v>15</v>
      </c>
      <c r="L84" t="s">
        <v>10</v>
      </c>
      <c r="M84" t="s">
        <v>11</v>
      </c>
    </row>
    <row r="85" spans="1:13" x14ac:dyDescent="0.2">
      <c r="A85">
        <v>254</v>
      </c>
      <c r="B85" t="s">
        <v>27</v>
      </c>
      <c r="C85" s="3"/>
      <c r="D85" s="4"/>
      <c r="E85">
        <v>-137.5</v>
      </c>
      <c r="F85" s="1">
        <v>45096.73505787037</v>
      </c>
      <c r="G85">
        <v>2023</v>
      </c>
      <c r="H85">
        <v>6</v>
      </c>
      <c r="I85">
        <v>19</v>
      </c>
      <c r="J85" t="s">
        <v>8</v>
      </c>
      <c r="K85" t="s">
        <v>15</v>
      </c>
      <c r="L85" t="s">
        <v>10</v>
      </c>
      <c r="M85" t="s">
        <v>11</v>
      </c>
    </row>
    <row r="86" spans="1:13" x14ac:dyDescent="0.2">
      <c r="A86">
        <v>255</v>
      </c>
      <c r="B86" t="s">
        <v>28</v>
      </c>
      <c r="C86" s="3"/>
      <c r="D86" s="4"/>
      <c r="E86">
        <v>-16.100000000000001</v>
      </c>
      <c r="F86" s="1">
        <v>45096.735243055555</v>
      </c>
      <c r="G86">
        <v>2023</v>
      </c>
      <c r="H86">
        <v>6</v>
      </c>
      <c r="I86">
        <v>19</v>
      </c>
      <c r="J86" t="s">
        <v>8</v>
      </c>
      <c r="K86" t="s">
        <v>15</v>
      </c>
      <c r="L86" t="s">
        <v>10</v>
      </c>
      <c r="M86" t="s">
        <v>11</v>
      </c>
    </row>
    <row r="87" spans="1:13" x14ac:dyDescent="0.2">
      <c r="A87">
        <v>261</v>
      </c>
      <c r="B87" t="s">
        <v>29</v>
      </c>
      <c r="C87" s="3"/>
      <c r="D87" s="4"/>
      <c r="E87">
        <v>-135.80000000000001</v>
      </c>
      <c r="F87" s="1">
        <v>45096.894050925926</v>
      </c>
      <c r="G87">
        <v>2023</v>
      </c>
      <c r="H87">
        <v>6</v>
      </c>
      <c r="I87">
        <v>19</v>
      </c>
      <c r="J87" t="s">
        <v>8</v>
      </c>
      <c r="K87" t="s">
        <v>15</v>
      </c>
      <c r="L87" t="s">
        <v>10</v>
      </c>
      <c r="M87" t="s">
        <v>11</v>
      </c>
    </row>
    <row r="88" spans="1:13" x14ac:dyDescent="0.2">
      <c r="A88">
        <v>285</v>
      </c>
      <c r="B88" t="s">
        <v>30</v>
      </c>
      <c r="C88" s="3"/>
      <c r="D88" s="4"/>
      <c r="E88">
        <v>-114.53</v>
      </c>
      <c r="F88" s="1">
        <v>45102.853750000002</v>
      </c>
      <c r="G88">
        <v>2023</v>
      </c>
      <c r="H88">
        <v>6</v>
      </c>
      <c r="I88">
        <v>25</v>
      </c>
      <c r="J88" t="s">
        <v>8</v>
      </c>
      <c r="K88" t="s">
        <v>15</v>
      </c>
      <c r="L88" t="s">
        <v>10</v>
      </c>
      <c r="M88" t="s">
        <v>11</v>
      </c>
    </row>
    <row r="89" spans="1:13" x14ac:dyDescent="0.2">
      <c r="A89">
        <v>286</v>
      </c>
      <c r="B89" t="s">
        <v>31</v>
      </c>
      <c r="C89" s="3"/>
      <c r="D89" s="4"/>
      <c r="E89">
        <v>-137.5</v>
      </c>
      <c r="F89" s="1">
        <v>45102.854502314818</v>
      </c>
      <c r="G89">
        <v>2023</v>
      </c>
      <c r="H89">
        <v>6</v>
      </c>
      <c r="I89">
        <v>25</v>
      </c>
      <c r="J89" t="s">
        <v>8</v>
      </c>
      <c r="K89" t="s">
        <v>15</v>
      </c>
      <c r="L89" t="s">
        <v>10</v>
      </c>
      <c r="M89" t="s">
        <v>11</v>
      </c>
    </row>
    <row r="90" spans="1:13" x14ac:dyDescent="0.2">
      <c r="A90">
        <v>347</v>
      </c>
      <c r="B90" t="s">
        <v>32</v>
      </c>
      <c r="C90" s="3"/>
      <c r="D90" s="4"/>
      <c r="E90">
        <v>-137.5</v>
      </c>
      <c r="F90" s="1">
        <v>45113.500972222224</v>
      </c>
      <c r="G90">
        <v>2023</v>
      </c>
      <c r="H90">
        <v>7</v>
      </c>
      <c r="I90">
        <v>6</v>
      </c>
      <c r="J90" t="s">
        <v>8</v>
      </c>
      <c r="K90" t="s">
        <v>15</v>
      </c>
      <c r="L90" t="s">
        <v>10</v>
      </c>
      <c r="M90" t="s">
        <v>11</v>
      </c>
    </row>
    <row r="91" spans="1:13" x14ac:dyDescent="0.2">
      <c r="A91">
        <v>360</v>
      </c>
      <c r="B91" t="s">
        <v>175</v>
      </c>
      <c r="C91" s="3"/>
      <c r="D91" s="4"/>
      <c r="E91">
        <v>-20</v>
      </c>
      <c r="F91" s="1">
        <v>45116.476736111108</v>
      </c>
      <c r="G91">
        <v>2023</v>
      </c>
      <c r="H91">
        <v>7</v>
      </c>
      <c r="I91">
        <v>9</v>
      </c>
      <c r="J91" t="s">
        <v>8</v>
      </c>
      <c r="K91" t="s">
        <v>15</v>
      </c>
      <c r="L91" t="s">
        <v>10</v>
      </c>
      <c r="M91" t="s">
        <v>11</v>
      </c>
    </row>
    <row r="92" spans="1:13" x14ac:dyDescent="0.2">
      <c r="A92">
        <v>362</v>
      </c>
      <c r="B92" t="s">
        <v>33</v>
      </c>
      <c r="C92" s="3"/>
      <c r="D92" s="4"/>
      <c r="E92">
        <v>-137.5</v>
      </c>
      <c r="F92" s="1">
        <v>45116.499490740738</v>
      </c>
      <c r="G92">
        <v>2023</v>
      </c>
      <c r="H92">
        <v>7</v>
      </c>
      <c r="I92">
        <v>9</v>
      </c>
      <c r="J92" t="s">
        <v>8</v>
      </c>
      <c r="K92" t="s">
        <v>15</v>
      </c>
      <c r="L92" t="s">
        <v>10</v>
      </c>
      <c r="M92" t="s">
        <v>11</v>
      </c>
    </row>
    <row r="93" spans="1:13" x14ac:dyDescent="0.2">
      <c r="A93">
        <v>368</v>
      </c>
      <c r="B93" t="s">
        <v>34</v>
      </c>
      <c r="C93" s="3"/>
      <c r="D93" s="4"/>
      <c r="E93">
        <v>-140.46</v>
      </c>
      <c r="F93" s="1">
        <v>45118.639594907407</v>
      </c>
      <c r="G93">
        <v>2023</v>
      </c>
      <c r="H93">
        <v>7</v>
      </c>
      <c r="I93">
        <v>11</v>
      </c>
      <c r="J93" t="s">
        <v>8</v>
      </c>
      <c r="K93" t="s">
        <v>15</v>
      </c>
      <c r="L93" t="s">
        <v>10</v>
      </c>
      <c r="M93" t="s">
        <v>11</v>
      </c>
    </row>
    <row r="94" spans="1:13" x14ac:dyDescent="0.2">
      <c r="A94">
        <v>565</v>
      </c>
      <c r="B94" t="s">
        <v>23</v>
      </c>
      <c r="C94" s="3"/>
      <c r="D94" s="4"/>
      <c r="E94">
        <v>200</v>
      </c>
      <c r="F94" s="1">
        <v>45118.650694444441</v>
      </c>
      <c r="G94">
        <v>2023</v>
      </c>
      <c r="H94">
        <v>7</v>
      </c>
      <c r="I94">
        <v>11</v>
      </c>
      <c r="J94" t="s">
        <v>8</v>
      </c>
      <c r="K94" t="s">
        <v>24</v>
      </c>
      <c r="L94" t="s">
        <v>25</v>
      </c>
      <c r="M94" t="s">
        <v>26</v>
      </c>
    </row>
    <row r="95" spans="1:13" x14ac:dyDescent="0.2">
      <c r="A95">
        <v>566</v>
      </c>
      <c r="B95" t="s">
        <v>57</v>
      </c>
      <c r="C95" s="3"/>
      <c r="D95" s="4"/>
      <c r="E95">
        <v>1131</v>
      </c>
      <c r="F95" s="1">
        <v>45127.64166666667</v>
      </c>
      <c r="G95">
        <v>2023</v>
      </c>
      <c r="H95">
        <v>7</v>
      </c>
      <c r="I95">
        <v>20</v>
      </c>
      <c r="J95" t="s">
        <v>8</v>
      </c>
      <c r="K95" t="s">
        <v>24</v>
      </c>
      <c r="L95" t="s">
        <v>25</v>
      </c>
      <c r="M95" t="s">
        <v>26</v>
      </c>
    </row>
    <row r="96" spans="1:13" x14ac:dyDescent="0.2">
      <c r="A96">
        <v>414</v>
      </c>
      <c r="B96" t="s">
        <v>37</v>
      </c>
      <c r="C96" s="3"/>
      <c r="D96" s="4"/>
      <c r="E96">
        <v>-137.5</v>
      </c>
      <c r="F96" s="1">
        <v>45127.730555555558</v>
      </c>
      <c r="G96">
        <v>2023</v>
      </c>
      <c r="H96">
        <v>7</v>
      </c>
      <c r="I96">
        <v>20</v>
      </c>
      <c r="J96" t="s">
        <v>8</v>
      </c>
      <c r="K96" t="s">
        <v>15</v>
      </c>
      <c r="L96" t="s">
        <v>10</v>
      </c>
      <c r="M96" t="s">
        <v>11</v>
      </c>
    </row>
    <row r="97" spans="1:13" x14ac:dyDescent="0.2">
      <c r="A97">
        <v>449</v>
      </c>
      <c r="B97" t="s">
        <v>38</v>
      </c>
      <c r="C97" s="3"/>
      <c r="D97" s="4"/>
      <c r="E97">
        <v>-70.64</v>
      </c>
      <c r="F97" s="1">
        <v>45135.363194444442</v>
      </c>
      <c r="G97">
        <v>2023</v>
      </c>
      <c r="H97">
        <v>7</v>
      </c>
      <c r="I97">
        <v>28</v>
      </c>
      <c r="J97" t="s">
        <v>8</v>
      </c>
      <c r="K97" t="s">
        <v>15</v>
      </c>
      <c r="L97" t="s">
        <v>10</v>
      </c>
      <c r="M97" t="s">
        <v>11</v>
      </c>
    </row>
    <row r="98" spans="1:13" x14ac:dyDescent="0.2">
      <c r="A98">
        <v>508</v>
      </c>
      <c r="B98" t="s">
        <v>45</v>
      </c>
      <c r="C98" s="3"/>
      <c r="D98" s="4"/>
      <c r="E98">
        <v>-20</v>
      </c>
      <c r="F98" s="1">
        <v>45143.648611111108</v>
      </c>
      <c r="G98">
        <v>2023</v>
      </c>
      <c r="H98">
        <v>8</v>
      </c>
      <c r="I98">
        <v>5</v>
      </c>
      <c r="J98" t="s">
        <v>8</v>
      </c>
      <c r="K98" t="s">
        <v>46</v>
      </c>
      <c r="L98" t="s">
        <v>47</v>
      </c>
      <c r="M98" t="s">
        <v>11</v>
      </c>
    </row>
    <row r="99" spans="1:13" x14ac:dyDescent="0.2">
      <c r="A99">
        <v>509</v>
      </c>
      <c r="B99" t="s">
        <v>48</v>
      </c>
      <c r="C99" s="3"/>
      <c r="D99" s="4"/>
      <c r="E99">
        <v>-137.5</v>
      </c>
      <c r="F99" s="1">
        <v>45143.65625</v>
      </c>
      <c r="G99">
        <v>2023</v>
      </c>
      <c r="H99">
        <v>8</v>
      </c>
      <c r="I99">
        <v>5</v>
      </c>
      <c r="J99" t="s">
        <v>8</v>
      </c>
      <c r="K99" t="s">
        <v>46</v>
      </c>
      <c r="L99" t="s">
        <v>47</v>
      </c>
      <c r="M99" t="s">
        <v>11</v>
      </c>
    </row>
    <row r="100" spans="1:13" x14ac:dyDescent="0.2">
      <c r="A100">
        <v>510</v>
      </c>
      <c r="B100" t="s">
        <v>49</v>
      </c>
      <c r="C100" s="3"/>
      <c r="D100" s="4"/>
      <c r="E100">
        <v>-137.5</v>
      </c>
      <c r="F100" s="1">
        <v>45143.657638888886</v>
      </c>
      <c r="G100">
        <v>2023</v>
      </c>
      <c r="H100">
        <v>8</v>
      </c>
      <c r="I100">
        <v>5</v>
      </c>
      <c r="J100" t="s">
        <v>8</v>
      </c>
      <c r="K100" t="s">
        <v>46</v>
      </c>
      <c r="L100" t="s">
        <v>47</v>
      </c>
      <c r="M100" t="s">
        <v>11</v>
      </c>
    </row>
    <row r="101" spans="1:13" x14ac:dyDescent="0.2">
      <c r="A101">
        <v>525</v>
      </c>
      <c r="B101" t="s">
        <v>50</v>
      </c>
      <c r="C101" s="3"/>
      <c r="D101" s="4"/>
      <c r="E101">
        <v>-129.83000000000001</v>
      </c>
      <c r="F101" s="1">
        <v>45145.613194444442</v>
      </c>
      <c r="G101">
        <v>2023</v>
      </c>
      <c r="H101">
        <v>8</v>
      </c>
      <c r="I101">
        <v>7</v>
      </c>
      <c r="J101" t="s">
        <v>8</v>
      </c>
      <c r="K101" t="s">
        <v>51</v>
      </c>
      <c r="L101" t="s">
        <v>47</v>
      </c>
      <c r="M101" t="s">
        <v>11</v>
      </c>
    </row>
    <row r="102" spans="1:13" x14ac:dyDescent="0.2">
      <c r="A102">
        <v>535</v>
      </c>
      <c r="B102" t="s">
        <v>52</v>
      </c>
      <c r="C102" s="3"/>
      <c r="D102" s="4"/>
      <c r="E102">
        <v>200</v>
      </c>
      <c r="F102" s="1">
        <v>45147.337500000001</v>
      </c>
      <c r="G102">
        <v>2023</v>
      </c>
      <c r="H102">
        <v>8</v>
      </c>
      <c r="I102">
        <v>9</v>
      </c>
      <c r="J102" t="s">
        <v>8</v>
      </c>
      <c r="K102" t="s">
        <v>53</v>
      </c>
      <c r="L102" t="s">
        <v>47</v>
      </c>
      <c r="M102" t="s">
        <v>26</v>
      </c>
    </row>
    <row r="103" spans="1:13" x14ac:dyDescent="0.2">
      <c r="A103">
        <v>557</v>
      </c>
      <c r="B103" t="s">
        <v>21</v>
      </c>
      <c r="C103" s="3"/>
      <c r="D103" s="4"/>
      <c r="E103">
        <v>-202.5</v>
      </c>
      <c r="F103" s="1">
        <v>45152.631249999999</v>
      </c>
      <c r="G103">
        <v>2023</v>
      </c>
      <c r="H103">
        <v>8</v>
      </c>
      <c r="I103">
        <v>14</v>
      </c>
      <c r="J103" t="s">
        <v>8</v>
      </c>
      <c r="K103" t="s">
        <v>46</v>
      </c>
      <c r="L103" t="s">
        <v>47</v>
      </c>
      <c r="M103" t="s">
        <v>11</v>
      </c>
    </row>
    <row r="104" spans="1:13" x14ac:dyDescent="0.2">
      <c r="A104">
        <v>558</v>
      </c>
      <c r="B104" t="s">
        <v>54</v>
      </c>
      <c r="C104" s="3"/>
      <c r="D104" s="4"/>
      <c r="E104">
        <v>-20</v>
      </c>
      <c r="F104" s="1">
        <v>45152.631944444445</v>
      </c>
      <c r="G104">
        <v>2023</v>
      </c>
      <c r="H104">
        <v>8</v>
      </c>
      <c r="I104">
        <v>14</v>
      </c>
      <c r="J104" t="s">
        <v>8</v>
      </c>
      <c r="K104" t="s">
        <v>46</v>
      </c>
      <c r="L104" t="s">
        <v>47</v>
      </c>
      <c r="M104" t="s">
        <v>11</v>
      </c>
    </row>
    <row r="105" spans="1:13" x14ac:dyDescent="0.2">
      <c r="A105">
        <v>559</v>
      </c>
      <c r="B105" t="s">
        <v>55</v>
      </c>
      <c r="C105" s="3"/>
      <c r="D105" s="4"/>
      <c r="E105">
        <v>-180</v>
      </c>
      <c r="F105" s="1">
        <v>45152.634027777778</v>
      </c>
      <c r="G105">
        <v>2023</v>
      </c>
      <c r="H105">
        <v>8</v>
      </c>
      <c r="I105">
        <v>14</v>
      </c>
      <c r="J105" t="s">
        <v>8</v>
      </c>
      <c r="K105" t="s">
        <v>46</v>
      </c>
      <c r="L105" t="s">
        <v>47</v>
      </c>
      <c r="M105" t="s">
        <v>11</v>
      </c>
    </row>
    <row r="106" spans="1:13" x14ac:dyDescent="0.2">
      <c r="A106">
        <v>596</v>
      </c>
      <c r="B106" t="s">
        <v>58</v>
      </c>
      <c r="C106" s="3"/>
      <c r="D106" s="4"/>
      <c r="E106">
        <v>-90.18</v>
      </c>
      <c r="F106" s="1">
        <v>45161.761111111111</v>
      </c>
      <c r="G106">
        <v>2023</v>
      </c>
      <c r="H106">
        <v>8</v>
      </c>
      <c r="I106">
        <v>23</v>
      </c>
      <c r="J106" t="s">
        <v>8</v>
      </c>
      <c r="K106" t="s">
        <v>51</v>
      </c>
      <c r="L106" t="s">
        <v>47</v>
      </c>
      <c r="M106" t="s">
        <v>11</v>
      </c>
    </row>
    <row r="107" spans="1:13" x14ac:dyDescent="0.2">
      <c r="A107">
        <v>597</v>
      </c>
      <c r="B107" t="s">
        <v>59</v>
      </c>
      <c r="C107" s="3"/>
      <c r="D107" s="4"/>
      <c r="E107">
        <v>-180</v>
      </c>
      <c r="F107" s="1">
        <v>45161.761805555558</v>
      </c>
      <c r="G107">
        <v>2023</v>
      </c>
      <c r="H107">
        <v>8</v>
      </c>
      <c r="I107">
        <v>23</v>
      </c>
      <c r="J107" t="s">
        <v>8</v>
      </c>
      <c r="K107" t="s">
        <v>46</v>
      </c>
      <c r="L107" t="s">
        <v>47</v>
      </c>
      <c r="M107" t="s">
        <v>11</v>
      </c>
    </row>
    <row r="108" spans="1:13" x14ac:dyDescent="0.2">
      <c r="A108">
        <v>608</v>
      </c>
      <c r="B108" t="s">
        <v>12</v>
      </c>
      <c r="C108" s="3" t="s">
        <v>149</v>
      </c>
      <c r="D108" s="4"/>
      <c r="E108">
        <v>294.33</v>
      </c>
      <c r="F108" s="1">
        <v>45162.391099537039</v>
      </c>
      <c r="G108">
        <v>2023</v>
      </c>
      <c r="H108">
        <v>8</v>
      </c>
      <c r="I108">
        <v>24</v>
      </c>
      <c r="J108" t="s">
        <v>8</v>
      </c>
      <c r="K108" t="s">
        <v>13</v>
      </c>
      <c r="L108" t="s">
        <v>10</v>
      </c>
      <c r="M108" t="s">
        <v>13</v>
      </c>
    </row>
    <row r="109" spans="1:13" x14ac:dyDescent="0.2">
      <c r="A109">
        <v>653</v>
      </c>
      <c r="B109" t="s">
        <v>61</v>
      </c>
      <c r="C109" s="3"/>
      <c r="D109" s="4"/>
      <c r="E109">
        <v>-67.42</v>
      </c>
      <c r="F109" s="1">
        <v>45172.396527777775</v>
      </c>
      <c r="G109">
        <v>2023</v>
      </c>
      <c r="H109">
        <v>9</v>
      </c>
      <c r="I109">
        <v>3</v>
      </c>
      <c r="J109" t="s">
        <v>8</v>
      </c>
      <c r="K109" t="s">
        <v>51</v>
      </c>
      <c r="L109" t="s">
        <v>47</v>
      </c>
      <c r="M109" t="s">
        <v>11</v>
      </c>
    </row>
    <row r="110" spans="1:13" x14ac:dyDescent="0.2">
      <c r="A110">
        <v>654</v>
      </c>
      <c r="B110" t="s">
        <v>62</v>
      </c>
      <c r="C110" s="3"/>
      <c r="D110" s="4"/>
      <c r="E110">
        <v>-29.17</v>
      </c>
      <c r="F110" s="1">
        <v>45172.396527777775</v>
      </c>
      <c r="G110">
        <v>2023</v>
      </c>
      <c r="H110">
        <v>9</v>
      </c>
      <c r="I110">
        <v>3</v>
      </c>
      <c r="J110" t="s">
        <v>8</v>
      </c>
      <c r="K110" t="s">
        <v>51</v>
      </c>
      <c r="L110" t="s">
        <v>47</v>
      </c>
      <c r="M110" t="s">
        <v>11</v>
      </c>
    </row>
    <row r="111" spans="1:13" x14ac:dyDescent="0.2">
      <c r="A111">
        <v>663</v>
      </c>
      <c r="B111" t="s">
        <v>63</v>
      </c>
      <c r="C111" s="3"/>
      <c r="D111" s="4"/>
      <c r="E111">
        <v>-180</v>
      </c>
      <c r="F111" s="1">
        <v>45174.724999999999</v>
      </c>
      <c r="G111">
        <v>2023</v>
      </c>
      <c r="H111">
        <v>9</v>
      </c>
      <c r="I111">
        <v>5</v>
      </c>
      <c r="J111" t="s">
        <v>8</v>
      </c>
      <c r="K111" t="s">
        <v>46</v>
      </c>
      <c r="L111" t="s">
        <v>47</v>
      </c>
      <c r="M111" t="s">
        <v>11</v>
      </c>
    </row>
    <row r="112" spans="1:13" x14ac:dyDescent="0.2">
      <c r="A112">
        <v>664</v>
      </c>
      <c r="B112" t="s">
        <v>64</v>
      </c>
      <c r="C112" s="3"/>
      <c r="D112" s="4"/>
      <c r="E112">
        <v>-180</v>
      </c>
      <c r="F112" s="1">
        <v>45174.725694444445</v>
      </c>
      <c r="G112">
        <v>2023</v>
      </c>
      <c r="H112">
        <v>9</v>
      </c>
      <c r="I112">
        <v>5</v>
      </c>
      <c r="J112" t="s">
        <v>8</v>
      </c>
      <c r="K112" t="s">
        <v>46</v>
      </c>
      <c r="L112" t="s">
        <v>47</v>
      </c>
      <c r="M112" t="s">
        <v>11</v>
      </c>
    </row>
    <row r="113" spans="1:13" x14ac:dyDescent="0.2">
      <c r="A113">
        <v>689</v>
      </c>
      <c r="B113" t="s">
        <v>177</v>
      </c>
      <c r="C113" s="3"/>
      <c r="D113" s="4"/>
      <c r="E113">
        <v>-56.15</v>
      </c>
      <c r="F113" s="1">
        <v>45180.425694444442</v>
      </c>
      <c r="G113">
        <v>2023</v>
      </c>
      <c r="H113">
        <v>9</v>
      </c>
      <c r="I113">
        <v>11</v>
      </c>
      <c r="J113" t="s">
        <v>8</v>
      </c>
      <c r="K113" t="s">
        <v>51</v>
      </c>
      <c r="L113" t="s">
        <v>47</v>
      </c>
      <c r="M113" t="s">
        <v>11</v>
      </c>
    </row>
    <row r="114" spans="1:13" x14ac:dyDescent="0.2">
      <c r="A114">
        <v>690</v>
      </c>
      <c r="B114" t="s">
        <v>178</v>
      </c>
      <c r="C114" s="3"/>
      <c r="D114" s="4"/>
      <c r="E114">
        <v>-5.8</v>
      </c>
      <c r="F114" s="1">
        <v>45180.426388888889</v>
      </c>
      <c r="G114">
        <v>2023</v>
      </c>
      <c r="H114">
        <v>9</v>
      </c>
      <c r="I114">
        <v>11</v>
      </c>
      <c r="J114" t="s">
        <v>8</v>
      </c>
      <c r="K114" t="s">
        <v>51</v>
      </c>
      <c r="L114" t="s">
        <v>47</v>
      </c>
      <c r="M114" t="s">
        <v>11</v>
      </c>
    </row>
    <row r="115" spans="1:13" x14ac:dyDescent="0.2">
      <c r="A115">
        <v>694</v>
      </c>
      <c r="B115" t="s">
        <v>65</v>
      </c>
      <c r="C115" s="3"/>
      <c r="D115" s="4"/>
      <c r="E115">
        <v>-21</v>
      </c>
      <c r="F115" s="1">
        <v>45180.684027777781</v>
      </c>
      <c r="G115">
        <v>2023</v>
      </c>
      <c r="H115">
        <v>9</v>
      </c>
      <c r="I115">
        <v>11</v>
      </c>
      <c r="J115" t="s">
        <v>8</v>
      </c>
      <c r="K115" t="s">
        <v>66</v>
      </c>
      <c r="L115" t="s">
        <v>47</v>
      </c>
      <c r="M115" t="s">
        <v>11</v>
      </c>
    </row>
    <row r="116" spans="1:13" x14ac:dyDescent="0.2">
      <c r="A116">
        <v>696</v>
      </c>
      <c r="B116" t="s">
        <v>67</v>
      </c>
      <c r="C116" s="3"/>
      <c r="D116" s="4"/>
      <c r="E116">
        <v>-500</v>
      </c>
      <c r="F116" s="1">
        <v>45181.30978009259</v>
      </c>
      <c r="G116">
        <v>2023</v>
      </c>
      <c r="H116">
        <v>9</v>
      </c>
      <c r="I116">
        <v>12</v>
      </c>
      <c r="J116" t="s">
        <v>8</v>
      </c>
      <c r="K116" t="s">
        <v>18</v>
      </c>
      <c r="L116" t="s">
        <v>10</v>
      </c>
      <c r="M116" t="s">
        <v>19</v>
      </c>
    </row>
    <row r="117" spans="1:13" x14ac:dyDescent="0.2">
      <c r="A117">
        <v>712</v>
      </c>
      <c r="B117" t="s">
        <v>70</v>
      </c>
      <c r="C117" s="3"/>
      <c r="D117" s="4"/>
      <c r="E117">
        <v>-2.9</v>
      </c>
      <c r="F117" s="1">
        <v>45181.634722222225</v>
      </c>
      <c r="G117">
        <v>2023</v>
      </c>
      <c r="H117">
        <v>9</v>
      </c>
      <c r="I117">
        <v>12</v>
      </c>
      <c r="J117" t="s">
        <v>8</v>
      </c>
      <c r="K117" t="s">
        <v>66</v>
      </c>
      <c r="L117" t="s">
        <v>47</v>
      </c>
      <c r="M117" t="s">
        <v>11</v>
      </c>
    </row>
    <row r="118" spans="1:13" x14ac:dyDescent="0.2">
      <c r="A118">
        <v>713</v>
      </c>
      <c r="B118" t="s">
        <v>71</v>
      </c>
      <c r="C118" s="3"/>
      <c r="D118" s="4"/>
      <c r="E118">
        <v>-50</v>
      </c>
      <c r="F118" s="1">
        <v>45181.635416666664</v>
      </c>
      <c r="G118">
        <v>2023</v>
      </c>
      <c r="H118">
        <v>9</v>
      </c>
      <c r="I118">
        <v>12</v>
      </c>
      <c r="J118" t="s">
        <v>8</v>
      </c>
      <c r="K118" t="s">
        <v>66</v>
      </c>
      <c r="L118" t="s">
        <v>47</v>
      </c>
      <c r="M118" t="s">
        <v>11</v>
      </c>
    </row>
    <row r="119" spans="1:13" x14ac:dyDescent="0.2">
      <c r="A119">
        <v>702</v>
      </c>
      <c r="B119" t="s">
        <v>68</v>
      </c>
      <c r="C119" s="3"/>
      <c r="D119" s="4"/>
      <c r="E119">
        <v>-153.75</v>
      </c>
      <c r="F119" s="1">
        <v>45181.701388888891</v>
      </c>
      <c r="G119">
        <v>2023</v>
      </c>
      <c r="H119">
        <v>9</v>
      </c>
      <c r="I119">
        <v>12</v>
      </c>
      <c r="J119" t="s">
        <v>8</v>
      </c>
      <c r="K119" t="s">
        <v>66</v>
      </c>
      <c r="L119" t="s">
        <v>47</v>
      </c>
      <c r="M119" t="s">
        <v>11</v>
      </c>
    </row>
    <row r="120" spans="1:13" x14ac:dyDescent="0.2">
      <c r="A120">
        <v>708</v>
      </c>
      <c r="B120" t="s">
        <v>69</v>
      </c>
      <c r="C120" s="3"/>
      <c r="D120" s="4"/>
      <c r="E120">
        <v>-180</v>
      </c>
      <c r="F120" s="1">
        <v>45182.436805555553</v>
      </c>
      <c r="G120">
        <v>2023</v>
      </c>
      <c r="H120">
        <v>9</v>
      </c>
      <c r="I120">
        <v>13</v>
      </c>
      <c r="J120" t="s">
        <v>8</v>
      </c>
      <c r="K120" t="s">
        <v>46</v>
      </c>
      <c r="L120" t="s">
        <v>47</v>
      </c>
      <c r="M120" t="s">
        <v>11</v>
      </c>
    </row>
    <row r="121" spans="1:13" x14ac:dyDescent="0.2">
      <c r="A121">
        <v>714</v>
      </c>
      <c r="B121" t="s">
        <v>179</v>
      </c>
      <c r="C121" s="3" t="s">
        <v>148</v>
      </c>
      <c r="D121" s="4"/>
      <c r="E121">
        <v>-4</v>
      </c>
      <c r="F121" s="1">
        <v>45182.651932870373</v>
      </c>
      <c r="G121">
        <v>2023</v>
      </c>
      <c r="H121">
        <v>9</v>
      </c>
      <c r="I121">
        <v>13</v>
      </c>
      <c r="J121" t="s">
        <v>8</v>
      </c>
      <c r="K121" t="s">
        <v>18</v>
      </c>
      <c r="L121" t="s">
        <v>10</v>
      </c>
      <c r="M121" t="s">
        <v>19</v>
      </c>
    </row>
    <row r="122" spans="1:13" x14ac:dyDescent="0.2">
      <c r="A122">
        <v>717</v>
      </c>
      <c r="B122" t="s">
        <v>12</v>
      </c>
      <c r="C122" s="3" t="s">
        <v>149</v>
      </c>
      <c r="D122" s="4"/>
      <c r="E122">
        <v>1243.71</v>
      </c>
      <c r="F122" s="1">
        <v>45182.699050925927</v>
      </c>
      <c r="G122">
        <v>2023</v>
      </c>
      <c r="H122">
        <v>9</v>
      </c>
      <c r="I122">
        <v>13</v>
      </c>
      <c r="J122" t="s">
        <v>8</v>
      </c>
      <c r="K122" t="s">
        <v>13</v>
      </c>
      <c r="L122" t="s">
        <v>10</v>
      </c>
      <c r="M122" t="s">
        <v>13</v>
      </c>
    </row>
    <row r="123" spans="1:13" x14ac:dyDescent="0.2">
      <c r="A123">
        <v>731</v>
      </c>
      <c r="B123" t="s">
        <v>72</v>
      </c>
      <c r="C123" s="3"/>
      <c r="D123" s="4"/>
      <c r="E123">
        <v>-180</v>
      </c>
      <c r="F123" s="1">
        <v>45188.597222222219</v>
      </c>
      <c r="G123">
        <v>2023</v>
      </c>
      <c r="H123">
        <v>9</v>
      </c>
      <c r="I123">
        <v>19</v>
      </c>
      <c r="J123" t="s">
        <v>8</v>
      </c>
      <c r="K123" t="s">
        <v>46</v>
      </c>
      <c r="L123" t="s">
        <v>47</v>
      </c>
      <c r="M123" t="s">
        <v>11</v>
      </c>
    </row>
    <row r="124" spans="1:13" x14ac:dyDescent="0.2">
      <c r="A124">
        <v>732</v>
      </c>
      <c r="B124" t="s">
        <v>73</v>
      </c>
      <c r="C124" s="3"/>
      <c r="D124" s="4"/>
      <c r="E124">
        <v>-1000</v>
      </c>
      <c r="F124" s="1">
        <v>45189.473611111112</v>
      </c>
      <c r="G124">
        <v>2023</v>
      </c>
      <c r="H124">
        <v>9</v>
      </c>
      <c r="I124">
        <v>20</v>
      </c>
      <c r="J124" t="s">
        <v>8</v>
      </c>
      <c r="K124" t="s">
        <v>66</v>
      </c>
      <c r="L124" t="s">
        <v>47</v>
      </c>
      <c r="M124" t="s">
        <v>11</v>
      </c>
    </row>
    <row r="125" spans="1:13" x14ac:dyDescent="0.2">
      <c r="A125">
        <v>760</v>
      </c>
      <c r="B125" t="s">
        <v>180</v>
      </c>
      <c r="C125" s="3"/>
      <c r="D125" s="4"/>
      <c r="E125">
        <v>-270</v>
      </c>
      <c r="F125" s="1">
        <v>45202.495833333334</v>
      </c>
      <c r="G125">
        <v>2023</v>
      </c>
      <c r="H125">
        <v>10</v>
      </c>
      <c r="I125">
        <v>3</v>
      </c>
      <c r="J125" t="s">
        <v>8</v>
      </c>
      <c r="K125" t="s">
        <v>15</v>
      </c>
      <c r="L125" t="s">
        <v>10</v>
      </c>
      <c r="M125" t="s">
        <v>11</v>
      </c>
    </row>
    <row r="126" spans="1:13" x14ac:dyDescent="0.2">
      <c r="A126">
        <v>781</v>
      </c>
      <c r="B126" t="s">
        <v>74</v>
      </c>
      <c r="C126" s="3"/>
      <c r="D126" s="4"/>
      <c r="E126">
        <v>-350</v>
      </c>
      <c r="F126" s="1">
        <v>45208.393055555556</v>
      </c>
      <c r="G126">
        <v>2023</v>
      </c>
      <c r="H126">
        <v>10</v>
      </c>
      <c r="I126">
        <v>9</v>
      </c>
      <c r="J126" t="s">
        <v>8</v>
      </c>
      <c r="K126" t="s">
        <v>15</v>
      </c>
      <c r="L126" t="s">
        <v>10</v>
      </c>
      <c r="M126" t="s">
        <v>11</v>
      </c>
    </row>
    <row r="127" spans="1:13" x14ac:dyDescent="0.2">
      <c r="A127">
        <v>782</v>
      </c>
      <c r="B127" t="s">
        <v>75</v>
      </c>
      <c r="C127" s="3"/>
      <c r="D127" s="4"/>
      <c r="E127">
        <v>-800</v>
      </c>
      <c r="F127" s="1">
        <v>45210.672222222223</v>
      </c>
      <c r="G127">
        <v>2023</v>
      </c>
      <c r="H127">
        <v>10</v>
      </c>
      <c r="I127">
        <v>11</v>
      </c>
      <c r="J127" t="s">
        <v>8</v>
      </c>
      <c r="K127" t="s">
        <v>15</v>
      </c>
      <c r="L127" t="s">
        <v>10</v>
      </c>
      <c r="M127" t="s">
        <v>11</v>
      </c>
    </row>
    <row r="128" spans="1:13" x14ac:dyDescent="0.2">
      <c r="A128">
        <v>793</v>
      </c>
      <c r="B128" t="s">
        <v>185</v>
      </c>
      <c r="C128" s="3"/>
      <c r="D128" s="4"/>
      <c r="E128">
        <v>-550</v>
      </c>
      <c r="F128" s="1">
        <v>45213.419444444444</v>
      </c>
      <c r="G128">
        <v>2023</v>
      </c>
      <c r="H128">
        <v>10</v>
      </c>
      <c r="I128">
        <v>14</v>
      </c>
      <c r="J128" t="s">
        <v>8</v>
      </c>
      <c r="K128" t="s">
        <v>18</v>
      </c>
      <c r="L128" t="s">
        <v>10</v>
      </c>
      <c r="M128" t="s">
        <v>19</v>
      </c>
    </row>
    <row r="129" spans="1:13" x14ac:dyDescent="0.2">
      <c r="A129">
        <v>798</v>
      </c>
      <c r="B129" t="s">
        <v>186</v>
      </c>
      <c r="C129" s="3"/>
      <c r="D129" s="4"/>
      <c r="E129">
        <v>-1100</v>
      </c>
      <c r="F129" s="1">
        <v>45213.577777777777</v>
      </c>
      <c r="G129">
        <v>2023</v>
      </c>
      <c r="H129">
        <v>10</v>
      </c>
      <c r="I129">
        <v>14</v>
      </c>
      <c r="J129" t="s">
        <v>8</v>
      </c>
      <c r="K129" t="s">
        <v>66</v>
      </c>
      <c r="L129" t="s">
        <v>47</v>
      </c>
      <c r="M129" t="s">
        <v>11</v>
      </c>
    </row>
    <row r="130" spans="1:13" x14ac:dyDescent="0.2">
      <c r="A130">
        <v>802</v>
      </c>
      <c r="B130" t="s">
        <v>76</v>
      </c>
      <c r="C130" s="3"/>
      <c r="D130" s="4"/>
      <c r="E130">
        <v>-100</v>
      </c>
      <c r="F130" s="1">
        <v>45216.816666666666</v>
      </c>
      <c r="G130">
        <v>2023</v>
      </c>
      <c r="H130">
        <v>10</v>
      </c>
      <c r="I130">
        <v>17</v>
      </c>
      <c r="J130" t="s">
        <v>8</v>
      </c>
      <c r="K130" t="s">
        <v>66</v>
      </c>
      <c r="L130" t="s">
        <v>47</v>
      </c>
      <c r="M130" t="s">
        <v>11</v>
      </c>
    </row>
    <row r="131" spans="1:13" x14ac:dyDescent="0.2">
      <c r="A131">
        <v>1109</v>
      </c>
      <c r="B131" t="s">
        <v>80</v>
      </c>
      <c r="C131" s="3"/>
      <c r="D131" s="4"/>
      <c r="E131">
        <v>100</v>
      </c>
      <c r="F131" s="1">
        <v>45245.784722222219</v>
      </c>
      <c r="G131">
        <v>2023</v>
      </c>
      <c r="H131">
        <v>11</v>
      </c>
      <c r="I131">
        <v>15</v>
      </c>
      <c r="J131" t="s">
        <v>8</v>
      </c>
      <c r="K131" t="s">
        <v>53</v>
      </c>
      <c r="L131" t="s">
        <v>47</v>
      </c>
      <c r="M131" t="s">
        <v>26</v>
      </c>
    </row>
    <row r="132" spans="1:13" x14ac:dyDescent="0.2">
      <c r="A132">
        <v>917</v>
      </c>
      <c r="B132" t="s">
        <v>176</v>
      </c>
      <c r="C132" s="3"/>
      <c r="D132" s="4"/>
      <c r="E132">
        <v>570</v>
      </c>
      <c r="F132" s="1">
        <v>45252.34652777778</v>
      </c>
      <c r="G132">
        <v>2023</v>
      </c>
      <c r="H132">
        <v>11</v>
      </c>
      <c r="I132">
        <v>22</v>
      </c>
      <c r="J132" t="s">
        <v>8</v>
      </c>
      <c r="K132" t="s">
        <v>24</v>
      </c>
      <c r="L132" t="s">
        <v>25</v>
      </c>
      <c r="M132" t="s">
        <v>26</v>
      </c>
    </row>
    <row r="133" spans="1:13" x14ac:dyDescent="0.2">
      <c r="A133">
        <v>1654</v>
      </c>
      <c r="B133" t="s">
        <v>83</v>
      </c>
      <c r="C133" s="3"/>
      <c r="D133" s="4"/>
      <c r="E133">
        <v>300</v>
      </c>
      <c r="F133" s="1">
        <v>45408.401388888888</v>
      </c>
      <c r="G133">
        <v>2024</v>
      </c>
      <c r="H133">
        <v>4</v>
      </c>
      <c r="I133">
        <v>26</v>
      </c>
      <c r="J133" t="s">
        <v>8</v>
      </c>
      <c r="K133" t="s">
        <v>53</v>
      </c>
      <c r="L133" t="s">
        <v>47</v>
      </c>
      <c r="M133" t="s">
        <v>26</v>
      </c>
    </row>
    <row r="134" spans="1:13" x14ac:dyDescent="0.2">
      <c r="A134">
        <v>1902</v>
      </c>
      <c r="B134" t="s">
        <v>85</v>
      </c>
      <c r="C134" s="3"/>
      <c r="D134" s="4"/>
      <c r="E134">
        <v>600</v>
      </c>
      <c r="F134" s="1">
        <v>45449.738888888889</v>
      </c>
      <c r="G134">
        <v>2024</v>
      </c>
      <c r="H134">
        <v>6</v>
      </c>
      <c r="I134">
        <v>6</v>
      </c>
      <c r="J134" t="s">
        <v>8</v>
      </c>
      <c r="K134" t="s">
        <v>53</v>
      </c>
      <c r="L134" t="s">
        <v>47</v>
      </c>
      <c r="M134" t="s">
        <v>26</v>
      </c>
    </row>
    <row r="135" spans="1:13" x14ac:dyDescent="0.2">
      <c r="A135">
        <v>2210</v>
      </c>
      <c r="B135" t="s">
        <v>92</v>
      </c>
      <c r="C135" s="3"/>
      <c r="D135" s="4"/>
      <c r="E135">
        <v>800</v>
      </c>
      <c r="F135" s="1">
        <v>45538.447222222225</v>
      </c>
      <c r="G135">
        <v>2024</v>
      </c>
      <c r="H135">
        <v>9</v>
      </c>
      <c r="I135">
        <v>3</v>
      </c>
      <c r="J135" t="s">
        <v>8</v>
      </c>
      <c r="K135" t="s">
        <v>53</v>
      </c>
      <c r="L135" t="s">
        <v>47</v>
      </c>
      <c r="M135" t="s">
        <v>26</v>
      </c>
    </row>
    <row r="136" spans="1:13" x14ac:dyDescent="0.2">
      <c r="A136">
        <v>2424</v>
      </c>
      <c r="B136" t="s">
        <v>114</v>
      </c>
      <c r="C136" s="3"/>
      <c r="D136" s="4"/>
      <c r="E136">
        <v>200</v>
      </c>
      <c r="F136" s="1">
        <v>45604.672222222223</v>
      </c>
      <c r="G136">
        <v>2024</v>
      </c>
      <c r="H136">
        <v>11</v>
      </c>
      <c r="I136">
        <v>8</v>
      </c>
      <c r="J136" t="s">
        <v>8</v>
      </c>
      <c r="K136" t="s">
        <v>53</v>
      </c>
      <c r="L136" t="s">
        <v>47</v>
      </c>
      <c r="M136" t="s">
        <v>26</v>
      </c>
    </row>
    <row r="137" spans="1:13" x14ac:dyDescent="0.2">
      <c r="A137">
        <v>2466</v>
      </c>
      <c r="B137" t="s">
        <v>12</v>
      </c>
      <c r="C137" s="3" t="s">
        <v>149</v>
      </c>
      <c r="D137" s="4"/>
      <c r="E137">
        <v>-210.52</v>
      </c>
      <c r="F137" s="1">
        <v>45625.930833333332</v>
      </c>
      <c r="G137">
        <v>2024</v>
      </c>
      <c r="H137">
        <v>11</v>
      </c>
      <c r="I137">
        <v>29</v>
      </c>
      <c r="J137" t="s">
        <v>8</v>
      </c>
      <c r="K137" t="s">
        <v>13</v>
      </c>
      <c r="L137" t="s">
        <v>10</v>
      </c>
      <c r="M137" t="s">
        <v>13</v>
      </c>
    </row>
    <row r="138" spans="1:13" x14ac:dyDescent="0.2">
      <c r="A138">
        <v>2608</v>
      </c>
      <c r="B138" t="s">
        <v>122</v>
      </c>
      <c r="C138" s="3"/>
      <c r="D138" s="4"/>
      <c r="E138">
        <v>200</v>
      </c>
      <c r="F138" s="1">
        <v>45643.397222222222</v>
      </c>
      <c r="G138">
        <v>2024</v>
      </c>
      <c r="H138">
        <v>12</v>
      </c>
      <c r="I138">
        <v>17</v>
      </c>
      <c r="J138" t="s">
        <v>8</v>
      </c>
      <c r="K138" t="s">
        <v>53</v>
      </c>
      <c r="L138" t="s">
        <v>47</v>
      </c>
      <c r="M138" t="s">
        <v>26</v>
      </c>
    </row>
    <row r="139" spans="1:13" x14ac:dyDescent="0.2">
      <c r="A139">
        <v>2688</v>
      </c>
      <c r="B139" t="s">
        <v>126</v>
      </c>
      <c r="C139" s="3"/>
      <c r="D139" s="4"/>
      <c r="E139">
        <v>200</v>
      </c>
      <c r="F139" s="1">
        <v>45670.723611111112</v>
      </c>
      <c r="G139">
        <v>2025</v>
      </c>
      <c r="H139">
        <v>1</v>
      </c>
      <c r="I139">
        <v>13</v>
      </c>
      <c r="J139" t="s">
        <v>8</v>
      </c>
      <c r="K139" t="s">
        <v>53</v>
      </c>
      <c r="L139" t="s">
        <v>47</v>
      </c>
      <c r="M139" t="s">
        <v>26</v>
      </c>
    </row>
    <row r="140" spans="1:13" x14ac:dyDescent="0.2">
      <c r="A140">
        <v>2689</v>
      </c>
      <c r="B140" t="s">
        <v>12</v>
      </c>
      <c r="C140" s="3"/>
      <c r="D140" s="4"/>
      <c r="E140" s="2">
        <v>0</v>
      </c>
      <c r="F140" s="1">
        <v>45691.725069444445</v>
      </c>
      <c r="G140">
        <v>2025</v>
      </c>
      <c r="H140">
        <v>2</v>
      </c>
      <c r="I140">
        <v>3</v>
      </c>
      <c r="J140" t="s">
        <v>8</v>
      </c>
      <c r="K140" t="s">
        <v>13</v>
      </c>
      <c r="L140" t="s">
        <v>10</v>
      </c>
      <c r="M140" t="s">
        <v>13</v>
      </c>
    </row>
    <row r="141" spans="1:13" x14ac:dyDescent="0.2">
      <c r="A141">
        <v>2748</v>
      </c>
      <c r="B141" t="s">
        <v>129</v>
      </c>
      <c r="C141" s="3"/>
      <c r="D141" s="4"/>
      <c r="E141">
        <v>200</v>
      </c>
      <c r="F141" s="1">
        <v>45706.433333333334</v>
      </c>
      <c r="G141">
        <v>2025</v>
      </c>
      <c r="H141">
        <v>2</v>
      </c>
      <c r="I141">
        <v>18</v>
      </c>
      <c r="J141" t="s">
        <v>8</v>
      </c>
      <c r="K141" t="s">
        <v>53</v>
      </c>
      <c r="L141" t="s">
        <v>47</v>
      </c>
      <c r="M141" t="s">
        <v>26</v>
      </c>
    </row>
    <row r="142" spans="1:13" x14ac:dyDescent="0.2">
      <c r="A142">
        <v>2769</v>
      </c>
      <c r="B142" t="s">
        <v>130</v>
      </c>
      <c r="C142" s="3"/>
      <c r="D142" s="4"/>
      <c r="E142">
        <v>0.06</v>
      </c>
      <c r="F142" s="1">
        <v>45716.417361111111</v>
      </c>
      <c r="G142">
        <v>2025</v>
      </c>
      <c r="H142">
        <v>2</v>
      </c>
      <c r="I142">
        <v>28</v>
      </c>
      <c r="J142" t="s">
        <v>8</v>
      </c>
      <c r="K142" t="s">
        <v>24</v>
      </c>
      <c r="L142" t="s">
        <v>25</v>
      </c>
      <c r="M142" t="s">
        <v>26</v>
      </c>
    </row>
    <row r="143" spans="1:13" x14ac:dyDescent="0.2">
      <c r="A143">
        <v>2792</v>
      </c>
      <c r="B143" t="s">
        <v>131</v>
      </c>
      <c r="C143" s="3"/>
      <c r="D143" s="4"/>
      <c r="E143">
        <v>200</v>
      </c>
      <c r="F143" s="1">
        <v>45726.716666666667</v>
      </c>
      <c r="G143">
        <v>2025</v>
      </c>
      <c r="H143">
        <v>3</v>
      </c>
      <c r="I143">
        <v>10</v>
      </c>
      <c r="J143" t="s">
        <v>8</v>
      </c>
      <c r="K143" t="s">
        <v>53</v>
      </c>
      <c r="L143" t="s">
        <v>47</v>
      </c>
      <c r="M143" t="s">
        <v>26</v>
      </c>
    </row>
    <row r="144" spans="1:13" x14ac:dyDescent="0.2">
      <c r="A144">
        <v>2868</v>
      </c>
      <c r="B144" t="s">
        <v>132</v>
      </c>
      <c r="C144" s="3"/>
      <c r="D144" s="4"/>
      <c r="E144">
        <v>200</v>
      </c>
      <c r="F144" s="1">
        <v>45767.811111111114</v>
      </c>
      <c r="G144">
        <v>2025</v>
      </c>
      <c r="H144">
        <v>4</v>
      </c>
      <c r="I144">
        <v>20</v>
      </c>
      <c r="J144" t="s">
        <v>8</v>
      </c>
      <c r="K144" t="s">
        <v>53</v>
      </c>
      <c r="L144" t="s">
        <v>47</v>
      </c>
      <c r="M144" t="s">
        <v>26</v>
      </c>
    </row>
    <row r="145" spans="1:13" x14ac:dyDescent="0.2">
      <c r="A145">
        <v>2886</v>
      </c>
      <c r="B145" t="s">
        <v>136</v>
      </c>
      <c r="C145" s="3"/>
      <c r="D145" s="4"/>
      <c r="E145">
        <v>200</v>
      </c>
      <c r="F145" s="1">
        <v>45796.601388888892</v>
      </c>
      <c r="G145">
        <v>2025</v>
      </c>
      <c r="H145">
        <v>5</v>
      </c>
      <c r="I145">
        <v>19</v>
      </c>
      <c r="J145" t="s">
        <v>8</v>
      </c>
      <c r="K145" t="s">
        <v>53</v>
      </c>
      <c r="L145" t="s">
        <v>47</v>
      </c>
      <c r="M145" t="s">
        <v>26</v>
      </c>
    </row>
    <row r="146" spans="1:13" x14ac:dyDescent="0.2">
      <c r="A146">
        <v>2894</v>
      </c>
      <c r="B146" t="s">
        <v>137</v>
      </c>
      <c r="C146" s="3"/>
      <c r="D146" s="4"/>
      <c r="E146">
        <v>200</v>
      </c>
      <c r="F146" s="1">
        <v>45818.570138888892</v>
      </c>
      <c r="G146">
        <v>2025</v>
      </c>
      <c r="H146">
        <v>6</v>
      </c>
      <c r="I146">
        <v>10</v>
      </c>
      <c r="J146" t="s">
        <v>8</v>
      </c>
      <c r="K146" t="s">
        <v>53</v>
      </c>
      <c r="L146" t="s">
        <v>47</v>
      </c>
      <c r="M146" t="s">
        <v>26</v>
      </c>
    </row>
    <row r="147" spans="1:13" x14ac:dyDescent="0.2">
      <c r="A147">
        <v>2897</v>
      </c>
      <c r="B147" t="s">
        <v>12</v>
      </c>
      <c r="C147" s="3"/>
      <c r="D147" s="4"/>
      <c r="E147" s="2">
        <v>0</v>
      </c>
      <c r="F147" s="1">
        <v>45826.634988425925</v>
      </c>
      <c r="G147">
        <v>2025</v>
      </c>
      <c r="H147">
        <v>6</v>
      </c>
      <c r="I147">
        <v>18</v>
      </c>
      <c r="J147" t="s">
        <v>8</v>
      </c>
      <c r="K147" t="s">
        <v>13</v>
      </c>
      <c r="L147" t="s">
        <v>10</v>
      </c>
      <c r="M147" t="s">
        <v>13</v>
      </c>
    </row>
    <row r="148" spans="1:13" x14ac:dyDescent="0.2">
      <c r="A148">
        <v>2924</v>
      </c>
      <c r="B148" t="s">
        <v>139</v>
      </c>
      <c r="C148" s="3"/>
      <c r="D148" s="4"/>
      <c r="E148">
        <v>200</v>
      </c>
      <c r="F148" s="1">
        <v>45848.45416666667</v>
      </c>
      <c r="G148">
        <v>2025</v>
      </c>
      <c r="H148">
        <v>7</v>
      </c>
      <c r="I148">
        <v>10</v>
      </c>
      <c r="J148" t="s">
        <v>8</v>
      </c>
      <c r="K148" t="s">
        <v>53</v>
      </c>
      <c r="L148" t="s">
        <v>47</v>
      </c>
      <c r="M148" t="s">
        <v>26</v>
      </c>
    </row>
    <row r="149" spans="1:13" x14ac:dyDescent="0.2">
      <c r="A149">
        <v>2958</v>
      </c>
      <c r="B149" t="s">
        <v>137</v>
      </c>
      <c r="C149" s="3"/>
      <c r="D149" s="4"/>
      <c r="E149">
        <v>200</v>
      </c>
      <c r="F149" s="1">
        <v>45881.458333333336</v>
      </c>
      <c r="G149">
        <v>2025</v>
      </c>
      <c r="H149">
        <v>8</v>
      </c>
      <c r="I149">
        <v>12</v>
      </c>
      <c r="J149" t="s">
        <v>8</v>
      </c>
      <c r="K149" t="s">
        <v>53</v>
      </c>
      <c r="L149" t="s">
        <v>47</v>
      </c>
      <c r="M149" t="s">
        <v>26</v>
      </c>
    </row>
    <row r="150" spans="1:13" x14ac:dyDescent="0.2">
      <c r="A150">
        <v>2967</v>
      </c>
      <c r="B150" t="s">
        <v>140</v>
      </c>
      <c r="C150" s="3"/>
      <c r="D150" s="4"/>
      <c r="E150">
        <v>200</v>
      </c>
      <c r="F150" s="1">
        <v>45904.621527777781</v>
      </c>
      <c r="G150">
        <v>2025</v>
      </c>
      <c r="H150">
        <v>9</v>
      </c>
      <c r="I150">
        <v>4</v>
      </c>
      <c r="J150" t="s">
        <v>8</v>
      </c>
      <c r="K150" t="s">
        <v>53</v>
      </c>
      <c r="L150" t="s">
        <v>47</v>
      </c>
      <c r="M150" t="s">
        <v>26</v>
      </c>
    </row>
    <row r="151" spans="1:13" x14ac:dyDescent="0.2">
      <c r="A151">
        <v>2982</v>
      </c>
      <c r="B151" t="s">
        <v>131</v>
      </c>
      <c r="C151" s="3"/>
      <c r="D151" s="4"/>
      <c r="E151">
        <v>200</v>
      </c>
      <c r="F151" s="1">
        <v>45943.40902777778</v>
      </c>
      <c r="G151">
        <v>2025</v>
      </c>
      <c r="H151">
        <v>10</v>
      </c>
      <c r="I151">
        <v>13</v>
      </c>
      <c r="J151" t="s">
        <v>8</v>
      </c>
      <c r="K151" t="s">
        <v>53</v>
      </c>
      <c r="L151" t="s">
        <v>47</v>
      </c>
      <c r="M151" t="s">
        <v>26</v>
      </c>
    </row>
    <row r="152" spans="1:13" x14ac:dyDescent="0.2">
      <c r="A152">
        <v>2990</v>
      </c>
      <c r="B152" t="s">
        <v>140</v>
      </c>
      <c r="C152" s="3"/>
      <c r="D152" s="4"/>
      <c r="E152">
        <v>200</v>
      </c>
      <c r="F152" s="1">
        <v>45973.55</v>
      </c>
      <c r="G152">
        <v>2025</v>
      </c>
      <c r="H152">
        <v>11</v>
      </c>
      <c r="I152">
        <v>12</v>
      </c>
      <c r="J152" t="s">
        <v>8</v>
      </c>
      <c r="K152" t="s">
        <v>53</v>
      </c>
      <c r="L152" t="s">
        <v>47</v>
      </c>
      <c r="M152" t="s">
        <v>26</v>
      </c>
    </row>
    <row r="153" spans="1:13" x14ac:dyDescent="0.2">
      <c r="A153">
        <v>2997</v>
      </c>
      <c r="B153" t="s">
        <v>140</v>
      </c>
      <c r="C153" s="3"/>
      <c r="D153" s="4"/>
      <c r="E153">
        <v>200</v>
      </c>
      <c r="F153" s="1">
        <v>46000.394444444442</v>
      </c>
      <c r="G153">
        <v>2025</v>
      </c>
      <c r="H153">
        <v>12</v>
      </c>
      <c r="I153">
        <v>9</v>
      </c>
      <c r="J153" t="s">
        <v>8</v>
      </c>
      <c r="K153" t="s">
        <v>53</v>
      </c>
      <c r="L153" t="s">
        <v>47</v>
      </c>
      <c r="M153" t="s">
        <v>26</v>
      </c>
    </row>
    <row r="154" spans="1:13" x14ac:dyDescent="0.2">
      <c r="A154">
        <v>3003</v>
      </c>
      <c r="B154" t="s">
        <v>143</v>
      </c>
      <c r="C154" s="3"/>
      <c r="D154" s="4"/>
      <c r="E154">
        <v>200</v>
      </c>
      <c r="F154" s="1">
        <v>46031.620833333334</v>
      </c>
      <c r="G154">
        <v>2026</v>
      </c>
      <c r="H154">
        <v>1</v>
      </c>
      <c r="I154">
        <v>9</v>
      </c>
      <c r="J154" t="s">
        <v>8</v>
      </c>
      <c r="K154" t="s">
        <v>53</v>
      </c>
      <c r="L154" t="s">
        <v>47</v>
      </c>
      <c r="M154" t="s">
        <v>26</v>
      </c>
    </row>
    <row r="155" spans="1:13" x14ac:dyDescent="0.2">
      <c r="A155">
        <v>3010</v>
      </c>
      <c r="B155" t="s">
        <v>48</v>
      </c>
      <c r="C155" s="3"/>
      <c r="D155" s="4"/>
      <c r="E155">
        <v>200</v>
      </c>
      <c r="F155" s="1">
        <v>46064.372916666667</v>
      </c>
      <c r="G155">
        <v>2026</v>
      </c>
      <c r="H155">
        <v>2</v>
      </c>
      <c r="I155">
        <v>11</v>
      </c>
      <c r="J155" t="s">
        <v>8</v>
      </c>
      <c r="K155" t="s">
        <v>53</v>
      </c>
      <c r="L155" t="s">
        <v>47</v>
      </c>
      <c r="M155" t="s">
        <v>26</v>
      </c>
    </row>
    <row r="156" spans="1:13" x14ac:dyDescent="0.2">
      <c r="A156">
        <v>3016</v>
      </c>
      <c r="B156" t="s">
        <v>144</v>
      </c>
      <c r="C156" s="3"/>
      <c r="D156" s="4"/>
      <c r="E156">
        <v>200</v>
      </c>
      <c r="F156" s="1">
        <v>46091.318055555559</v>
      </c>
      <c r="G156">
        <v>2026</v>
      </c>
      <c r="H156">
        <v>3</v>
      </c>
      <c r="I156">
        <v>10</v>
      </c>
      <c r="J156" t="s">
        <v>8</v>
      </c>
      <c r="K156" t="s">
        <v>53</v>
      </c>
      <c r="L156" t="s">
        <v>47</v>
      </c>
      <c r="M156" t="s">
        <v>26</v>
      </c>
    </row>
    <row r="157" spans="1:13" x14ac:dyDescent="0.2">
      <c r="A157">
        <v>3024</v>
      </c>
      <c r="B157" t="s">
        <v>140</v>
      </c>
      <c r="C157" s="3"/>
      <c r="D157" s="4"/>
      <c r="E157">
        <v>200</v>
      </c>
      <c r="F157" s="1">
        <v>46122.669444444444</v>
      </c>
      <c r="G157">
        <v>2026</v>
      </c>
      <c r="H157">
        <v>4</v>
      </c>
      <c r="I157">
        <v>10</v>
      </c>
      <c r="J157" t="s">
        <v>8</v>
      </c>
      <c r="K157" t="s">
        <v>53</v>
      </c>
      <c r="L157" t="s">
        <v>47</v>
      </c>
      <c r="M157" t="s">
        <v>26</v>
      </c>
    </row>
    <row r="158" spans="1:13" x14ac:dyDescent="0.2">
      <c r="A158">
        <v>3025</v>
      </c>
      <c r="B158" t="s">
        <v>140</v>
      </c>
      <c r="C158" s="3"/>
      <c r="D158" s="4"/>
      <c r="E158">
        <v>200</v>
      </c>
      <c r="F158" s="1">
        <v>46150.607638888891</v>
      </c>
      <c r="G158">
        <v>2026</v>
      </c>
      <c r="H158">
        <v>5</v>
      </c>
      <c r="I158">
        <v>8</v>
      </c>
      <c r="J158" t="s">
        <v>8</v>
      </c>
      <c r="K158" t="s">
        <v>53</v>
      </c>
      <c r="L158" t="s">
        <v>47</v>
      </c>
      <c r="M158" t="s">
        <v>26</v>
      </c>
    </row>
  </sheetData>
  <autoFilter ref="A1:M159" xr:uid="{EA860869-7BA7-6B43-B991-E73A61D1EF3C}">
    <sortState xmlns:xlrd2="http://schemas.microsoft.com/office/spreadsheetml/2017/richdata2" ref="A2:M159">
      <sortCondition ref="D1:D15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2979-CE97-7F4B-9624-CCC70C7C66D7}">
  <dimension ref="D6:E8"/>
  <sheetViews>
    <sheetView workbookViewId="0">
      <selection activeCell="E9" sqref="E9"/>
    </sheetView>
  </sheetViews>
  <sheetFormatPr baseColWidth="10" defaultRowHeight="16" x14ac:dyDescent="0.2"/>
  <sheetData>
    <row r="6" spans="4:5" x14ac:dyDescent="0.2">
      <c r="D6" t="s">
        <v>151</v>
      </c>
      <c r="E6">
        <v>15910.89</v>
      </c>
    </row>
    <row r="7" spans="4:5" x14ac:dyDescent="0.2">
      <c r="D7" t="s">
        <v>150</v>
      </c>
      <c r="E7">
        <v>6238.37</v>
      </c>
    </row>
    <row r="8" spans="4:5" x14ac:dyDescent="0.2">
      <c r="D8" t="s">
        <v>152</v>
      </c>
      <c r="E8">
        <f>SUM(E6:E7)</f>
        <v>22149.26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MovimientosJunio1_2026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EFRAIN INIGUEZ JARRIN</cp:lastModifiedBy>
  <dcterms:created xsi:type="dcterms:W3CDTF">2026-06-02T01:43:14Z</dcterms:created>
  <dcterms:modified xsi:type="dcterms:W3CDTF">2026-06-19T00:32:54Z</dcterms:modified>
</cp:coreProperties>
</file>